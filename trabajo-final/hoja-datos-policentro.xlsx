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ame" sheetId="1" state="visible" r:id="rId1"/>
    <sheet xmlns:r="http://schemas.openxmlformats.org/officeDocument/2006/relationships" name="Paso a paso" sheetId="2" state="visible" r:id="rId2"/>
    <sheet xmlns:r="http://schemas.openxmlformats.org/officeDocument/2006/relationships" name="Centros" sheetId="3" state="visible" r:id="rId3"/>
    <sheet xmlns:r="http://schemas.openxmlformats.org/officeDocument/2006/relationships" name="Bases" sheetId="4" state="visible" r:id="rId4"/>
    <sheet xmlns:r="http://schemas.openxmlformats.org/officeDocument/2006/relationships" name="Reparto" sheetId="5" state="visible" r:id="rId5"/>
    <sheet xmlns:r="http://schemas.openxmlformats.org/officeDocument/2006/relationships" name="Laboratorio" sheetId="6" state="visible" r:id="rId6"/>
    <sheet xmlns:r="http://schemas.openxmlformats.org/officeDocument/2006/relationships" name="TDABC" sheetId="7" state="visible" r:id="rId7"/>
    <sheet xmlns:r="http://schemas.openxmlformats.org/officeDocument/2006/relationships" name="Aseguramiento" sheetId="8" state="visible" r:id="rId8"/>
    <sheet xmlns:r="http://schemas.openxmlformats.org/officeDocument/2006/relationships" name="Escenarios" sheetId="9" state="visible" r:id="rId9"/>
    <sheet xmlns:r="http://schemas.openxmlformats.org/officeDocument/2006/relationships" name="Presupuesto"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11">
    <font>
      <name val="Calibri"/>
      <family val="2"/>
      <color theme="1"/>
      <sz val="11"/>
      <scheme val="minor"/>
    </font>
    <font>
      <name val="Arial"/>
      <b val="1"/>
      <color rgb="00A2532A"/>
      <sz val="14"/>
    </font>
    <font>
      <name val="Arial"/>
      <b val="1"/>
      <color rgb="009B2F2F"/>
      <sz val="10"/>
    </font>
    <font>
      <name val="Arial"/>
      <i val="1"/>
      <color rgb="005C6670"/>
      <sz val="10"/>
    </font>
    <font>
      <name val="Arial"/>
      <b val="1"/>
      <color rgb="001D2329"/>
      <sz val="10"/>
    </font>
    <font>
      <name val="Arial"/>
      <color rgb="001D2329"/>
      <sz val="10"/>
    </font>
    <font>
      <name val="Arial"/>
      <b val="1"/>
      <color rgb="00FFFFFF"/>
      <sz val="10"/>
    </font>
    <font>
      <name val="Arial"/>
      <color rgb="000000FF"/>
      <sz val="10"/>
    </font>
    <font>
      <name val="Arial"/>
      <color rgb="00000000"/>
      <sz val="10"/>
    </font>
    <font>
      <name val="Consolas"/>
      <color rgb="003D6F86"/>
      <sz val="9"/>
    </font>
    <font>
      <name val="Arial"/>
      <color rgb="00008000"/>
      <sz val="10"/>
    </font>
  </fonts>
  <fills count="5">
    <fill>
      <patternFill/>
    </fill>
    <fill>
      <patternFill patternType="gray125"/>
    </fill>
    <fill>
      <patternFill patternType="solid">
        <fgColor rgb="00F5E3D8"/>
      </patternFill>
    </fill>
    <fill>
      <patternFill patternType="solid">
        <fgColor rgb="00A2532A"/>
      </patternFill>
    </fill>
    <fill>
      <patternFill patternType="solid">
        <fgColor rgb="00FFFF00"/>
      </patternFill>
    </fill>
  </fills>
  <borders count="6">
    <border>
      <left/>
      <right/>
      <top/>
      <bottom/>
      <diagonal/>
    </border>
    <border>
      <left style="thin">
        <color rgb="00D5DBE2"/>
      </left>
      <right style="thin">
        <color rgb="00D5DBE2"/>
      </right>
      <top style="thin">
        <color rgb="00D5DBE2"/>
      </top>
      <bottom style="thin">
        <color rgb="00D5DBE2"/>
      </bottom>
    </border>
    <border>
      <left/>
      <right/>
      <top style="thin">
        <color rgb="00D5DBE2"/>
      </top>
      <bottom/>
      <diagonal/>
    </border>
    <border>
      <left/>
      <right style="thin">
        <color rgb="00D5DBE2"/>
      </right>
      <top style="thin">
        <color rgb="00D5DBE2"/>
      </top>
      <bottom/>
      <diagonal/>
    </border>
    <border>
      <left/>
      <right/>
      <top style="thin">
        <color rgb="00D5DBE2"/>
      </top>
      <bottom style="thin">
        <color rgb="00D5DBE2"/>
      </bottom>
      <diagonal/>
    </border>
    <border>
      <left/>
      <right style="thin">
        <color rgb="00D5DBE2"/>
      </right>
      <top style="thin">
        <color rgb="00D5DBE2"/>
      </top>
      <bottom style="thin">
        <color rgb="00D5DBE2"/>
      </bottom>
      <diagonal/>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1" applyAlignment="1" pivotButton="0" quotePrefix="0" xfId="0">
      <alignment vertical="top" wrapText="1"/>
    </xf>
    <xf numFmtId="0" fontId="0" fillId="0" borderId="4" pivotButton="0" quotePrefix="0" xfId="0"/>
    <xf numFmtId="0" fontId="0" fillId="0" borderId="5" pivotButton="0" quotePrefix="0" xfId="0"/>
    <xf numFmtId="0" fontId="4" fillId="0" borderId="1" pivotButton="0" quotePrefix="0" xfId="0"/>
    <xf numFmtId="0" fontId="4" fillId="0" borderId="1" applyAlignment="1" pivotButton="0" quotePrefix="0" xfId="0">
      <alignment vertical="top" wrapText="1"/>
    </xf>
    <xf numFmtId="0" fontId="6" fillId="3" borderId="1" applyAlignment="1" pivotButton="0" quotePrefix="0" xfId="0">
      <alignment vertical="center" wrapText="1"/>
    </xf>
    <xf numFmtId="0" fontId="5" fillId="0" borderId="1" pivotButton="0" quotePrefix="0" xfId="0"/>
    <xf numFmtId="4" fontId="7" fillId="0" borderId="1" pivotButton="0" quotePrefix="0" xfId="0"/>
    <xf numFmtId="4" fontId="8" fillId="0" borderId="1" pivotButton="0" quotePrefix="0" xfId="0"/>
    <xf numFmtId="0" fontId="9" fillId="0" borderId="1" pivotButton="0" quotePrefix="0" xfId="0"/>
    <xf numFmtId="3" fontId="7" fillId="0" borderId="1" pivotButton="0" quotePrefix="0" xfId="0"/>
    <xf numFmtId="4" fontId="4" fillId="2" borderId="1" pivotButton="0" quotePrefix="0" xfId="0"/>
    <xf numFmtId="164" fontId="8" fillId="0" borderId="1" pivotButton="0" quotePrefix="0" xfId="0"/>
    <xf numFmtId="0" fontId="3" fillId="0" borderId="0" applyAlignment="1" pivotButton="0" quotePrefix="0" xfId="0">
      <alignment wrapText="1"/>
    </xf>
    <xf numFmtId="3" fontId="4" fillId="2" borderId="1" pivotButton="0" quotePrefix="0" xfId="0"/>
    <xf numFmtId="4" fontId="10" fillId="0" borderId="1" pivotButton="0" quotePrefix="0" xfId="0"/>
    <xf numFmtId="0" fontId="3" fillId="0" borderId="1" pivotButton="0" quotePrefix="0" xfId="0"/>
    <xf numFmtId="4" fontId="8" fillId="4" borderId="1" pivotButton="0" quotePrefix="0" xfId="0"/>
    <xf numFmtId="3" fontId="10" fillId="0" borderId="1" pivotButton="0" quotePrefix="0" xfId="0"/>
    <xf numFmtId="164" fontId="8" fillId="4" borderId="1" pivotButton="0" quotePrefix="0" xfId="0"/>
    <xf numFmtId="4" fontId="4" fillId="4" borderId="1" pivotButton="0" quotePrefix="0" xfId="0"/>
    <xf numFmtId="0" fontId="8" fillId="0" borderId="1" pivotButton="0" quotePrefix="0" xfId="0"/>
    <xf numFmtId="0" fontId="5" fillId="0" borderId="0" applyAlignment="1" pivotButton="0" quotePrefix="0" xfId="0">
      <alignment vertical="top" wrapText="1"/>
    </xf>
    <xf numFmtId="4" fontId="4" fillId="0" borderId="1" pivotButton="0" quotePrefix="0" xfId="0"/>
    <xf numFmtId="3" fontId="8" fillId="0" borderId="1" pivotButton="0" quotePrefix="0" xfId="0"/>
    <xf numFmtId="165" fontId="8" fillId="0" borderId="1" pivotButton="0" quotePrefix="0" xfId="0"/>
    <xf numFmtId="0" fontId="10" fillId="0" borderId="1" pivotButton="0" quotePrefix="0" xfId="0"/>
    <xf numFmtId="165" fontId="10" fillId="0" borderId="1" pivotButton="0" quotePrefix="0" xfId="0"/>
    <xf numFmtId="164" fontId="4" fillId="0" borderId="1" pivotButton="0" quotePrefix="0" xfId="0"/>
    <xf numFmtId="0" fontId="5" fillId="0" borderId="0" pivotButton="0" quotePrefix="0" xfId="0"/>
    <xf numFmtId="4" fontId="7" fillId="4" borderId="1" pivotButton="0" quotePrefix="0" xfId="0"/>
    <xf numFmtId="3" fontId="7" fillId="4" borderId="1" pivotButton="0" quotePrefix="0" xfId="0"/>
    <xf numFmtId="164" fontId="7" fillId="4" borderId="1" pivotButton="0" quotePrefix="0" xfId="0"/>
    <xf numFmtId="0" fontId="5"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D6F86"/>
    <outlinePr summaryBelow="1" summaryRight="1"/>
    <pageSetUpPr/>
  </sheetPr>
  <dimension ref="A1:B18"/>
  <sheetViews>
    <sheetView showGridLines="0" workbookViewId="0">
      <selection activeCell="A1" sqref="A1"/>
    </sheetView>
  </sheetViews>
  <sheetFormatPr baseColWidth="8" defaultRowHeight="15"/>
  <cols>
    <col width="20" customWidth="1" min="1" max="1"/>
    <col width="110" customWidth="1" min="2" max="2"/>
  </cols>
  <sheetData>
    <row r="1">
      <c r="A1" s="1" t="inlineStr">
        <is>
          <t>Policentro ficticio de la CSS en Chiriquí: hoja de datos del hito 2</t>
        </is>
      </c>
    </row>
    <row r="2">
      <c r="A2" s="2" t="inlineStr">
        <is>
          <t>CONSTRUCCIÓN DOCENTE FICTICIA. No son datos de ningún policentro real de la CSS ni del MINSA.</t>
        </is>
      </c>
    </row>
    <row r="3">
      <c r="A3" s="3" t="inlineStr">
        <is>
          <t>Economía y Finanzas de los Servicios de Salud, UDELAS. Trabajo final guiado, hito 2: oferta, integración y costo.</t>
        </is>
      </c>
    </row>
    <row r="5" ht="44" customHeight="1">
      <c r="A5" s="4" t="inlineStr">
        <is>
          <t>Qué es</t>
        </is>
      </c>
      <c r="B5" s="5" t="inlineStr">
        <is>
          <t>El mismo policentro del escenario de la sesión 04: usted es su director médico y le piden el anteproyecto de presupuesto. Aquí están los datos de un mes para costear sus servicios.</t>
        </is>
      </c>
    </row>
    <row r="6" ht="44" customHeight="1">
      <c r="A6" s="4" t="inlineStr">
        <is>
          <t>Por qué es ficticio</t>
        </is>
      </c>
      <c r="B6" s="5" t="inlineStr">
        <is>
          <t>Para que el método se aprenda sin exponer datos de una institución real. Las cifras son coherentes con el deck S04: la consulta de medicina general cuesta B/. 18 con 80 % fijo; el laboratorio gasta B/. 7,150, 4,675 y 6,490; la enfermera cuesta B/. 2,400 por 7,200 minutos.</t>
        </is>
      </c>
    </row>
    <row r="7" ht="44" customHeight="1">
      <c r="A7" s="4" t="inlineStr">
        <is>
          <t>Colores</t>
        </is>
      </c>
      <c r="B7" s="5" t="inlineStr">
        <is>
          <t>Azul: dato. Negro: fórmula. Verde: vínculo a otra hoja. Amarillo: celda que llena su equipo. La columna gris de la derecha muestra la fórmula de la celda vecina.</t>
        </is>
      </c>
    </row>
    <row r="8" ht="44" customHeight="1">
      <c r="A8" s="4" t="inlineStr">
        <is>
          <t>Paso a paso</t>
        </is>
      </c>
      <c r="B8" s="5" t="inlineStr">
        <is>
          <t>La guía del costeo en orden: primero la asignación escalonada (hoja Reparto), después el TDABC. Empiecen por ahí.</t>
        </is>
      </c>
    </row>
    <row r="9" ht="44" customHeight="1">
      <c r="A9" s="4" t="inlineStr">
        <is>
          <t>Centros</t>
        </is>
      </c>
      <c r="B9" s="5" t="inlineStr">
        <is>
          <t>Los nueve centros de producción, con mano de obra, insumos y gastos generales del mes. Calcula el costo directo.</t>
        </is>
      </c>
    </row>
    <row r="10" ht="44" customHeight="1">
      <c r="A10" s="4" t="inlineStr">
        <is>
          <t>Bases</t>
        </is>
      </c>
      <c r="B10" s="5" t="inlineStr">
        <is>
          <t>Con qué base reparte cada centro administrativo y de apoyo, y cuánto le toca a cada uno.</t>
        </is>
      </c>
    </row>
    <row r="11" ht="44" customHeight="1">
      <c r="A11" s="4" t="inlineStr">
        <is>
          <t>Reparto</t>
        </is>
      </c>
      <c r="B11" s="5" t="inlineStr">
        <is>
          <t>Aquí trabaja su equipo: la asignación escalonada (step down) hasta el costo total y el costo por actividad de los cuatro centros finales.</t>
        </is>
      </c>
    </row>
    <row r="12" ht="44" customHeight="1">
      <c r="A12" s="4" t="inlineStr">
        <is>
          <t>Laboratorio</t>
        </is>
      </c>
      <c r="B12" s="5" t="inlineStr">
        <is>
          <t>El ejemplo del deck S04 y la oferta del laboratorio privado.</t>
        </is>
      </c>
    </row>
    <row r="13" ht="44" customHeight="1">
      <c r="A13" s="4" t="inlineStr">
        <is>
          <t>TDABC</t>
        </is>
      </c>
      <c r="B13" s="5" t="inlineStr">
        <is>
          <t>El costeo por actividades y tiempo de la consulta de crecimiento y desarrollo.</t>
        </is>
      </c>
    </row>
    <row r="14" ht="44" customHeight="1">
      <c r="A14" s="4" t="inlineStr">
        <is>
          <t>Aseguramiento</t>
        </is>
      </c>
      <c r="B14" s="5" t="inlineStr">
        <is>
          <t>Cuántas atenciones fueron a asegurados y a no asegurados. Sirve para la pregunta de quién paga.</t>
        </is>
      </c>
    </row>
    <row r="15" ht="44" customHeight="1">
      <c r="A15" s="4" t="inlineStr">
        <is>
          <t>Escenarios</t>
        </is>
      </c>
      <c r="B15" s="5" t="inlineStr">
        <is>
          <t>Plantilla del costo unitario aplicado a un territorio: escenario actual frente a escenario en red. Cambie los datos azules por los de su territorio del hito 1.</t>
        </is>
      </c>
    </row>
    <row r="16" ht="44" customHeight="1">
      <c r="A16" s="4" t="inlineStr">
        <is>
          <t>Presupuesto</t>
        </is>
      </c>
      <c r="B16" s="5" t="inlineStr">
        <is>
          <t>Presupuesto por programas: meta por costo unitario.</t>
        </is>
      </c>
    </row>
    <row r="17" ht="44" customHeight="1">
      <c r="A17" s="4" t="inlineStr">
        <is>
          <t>Uso de IA</t>
        </is>
      </c>
      <c r="B17" s="5" t="inlineStr">
        <is>
          <t>En el costeo la IA es de uso obligatorio. Pídale la estructura del modelo y las fórmulas; después verifique cada supuesto contra esta hoja y anote en el tablero qué propuso, cómo lo verificó y qué corrigió.</t>
        </is>
      </c>
    </row>
    <row r="18" ht="44" customHeight="1">
      <c r="A18" s="4" t="inlineStr">
        <is>
          <t>Ojo</t>
        </is>
      </c>
      <c r="B18" s="5" t="inlineStr">
        <is>
          <t>Nunca use la población asegurada como denominador. El policentro de la CSS también atiende a no asegurados.</t>
        </is>
      </c>
    </row>
  </sheetData>
  <pageMargins left="0.75" right="0.75" top="1" bottom="1" header="0.5" footer="0.5"/>
</worksheet>
</file>

<file path=xl/worksheets/sheet2.xml><?xml version="1.0" encoding="utf-8"?>
<worksheet xmlns="http://schemas.openxmlformats.org/spreadsheetml/2006/main">
  <sheetPr>
    <tabColor rgb="003D6F86"/>
    <outlinePr summaryBelow="1" summaryRight="1"/>
    <pageSetUpPr/>
  </sheetPr>
  <dimension ref="A1:C21"/>
  <sheetViews>
    <sheetView showGridLines="0" workbookViewId="0">
      <selection activeCell="A1" sqref="A1"/>
    </sheetView>
  </sheetViews>
  <sheetFormatPr baseColWidth="8" defaultRowHeight="15"/>
  <cols>
    <col width="5" customWidth="1" min="1" max="1"/>
    <col width="30" customWidth="1" min="2" max="2"/>
    <col width="110" customWidth="1" min="3" max="3"/>
  </cols>
  <sheetData>
    <row r="1">
      <c r="A1" s="1" t="inlineStr">
        <is>
          <t>Paso a paso del costeo</t>
        </is>
      </c>
    </row>
    <row r="2">
      <c r="A2" s="2" t="inlineStr">
        <is>
          <t>CONSTRUCCIÓN DOCENTE FICTICIA. No son datos de ningún policentro real de la CSS ni del MINSA.</t>
        </is>
      </c>
    </row>
    <row r="3">
      <c r="A3" s="3" t="inlineStr">
        <is>
          <t>Hagan los pasos en orden. Cada ejemplo es solo la primera cuenta: el resto lo calcula su equipo.</t>
        </is>
      </c>
    </row>
    <row r="5">
      <c r="A5" s="4" t="inlineStr">
        <is>
          <t>A. Asignación escalonada, hoja Reparto</t>
        </is>
      </c>
      <c r="B5" s="6" t="n"/>
      <c r="C5" s="7" t="n"/>
    </row>
    <row r="6" ht="58" customHeight="1">
      <c r="A6" s="8" t="n">
        <v>1</v>
      </c>
      <c r="B6" s="9" t="inlineStr">
        <is>
          <t>Ubiquen los tres tipos de centro</t>
        </is>
      </c>
      <c r="C6" s="5" t="inlineStr">
        <is>
          <t>En la hoja Centros: administrativos (G1 y G2), de apoyo (A1, A2 y A3) y finales (F1 a F4). Los finales atienden al paciente; los demás les sirven, y su costo tiene que terminar cargado en los finales.</t>
        </is>
      </c>
    </row>
    <row r="7" ht="58" customHeight="1">
      <c r="A7" s="8" t="n">
        <v>2</v>
      </c>
      <c r="B7" s="9" t="inlineStr">
        <is>
          <t>Lean el costo directo de cada centro</t>
        </is>
      </c>
      <c r="C7" s="5" t="inlineStr">
        <is>
          <t>Columna G de la hoja Centros: mano de obra + insumos + gastos generales. Ya está calculado. Ejemplo: Dirección y administración (G1) = 7800 + 400 + 1300 = B/. 9500.</t>
        </is>
      </c>
    </row>
    <row r="8" ht="58" customHeight="1">
      <c r="A8" s="8" t="n">
        <v>3</v>
      </c>
      <c r="B8" s="9" t="inlineStr">
        <is>
          <t>Repartan G1 por funcionarios</t>
        </is>
      </c>
      <c r="C8" s="5" t="inlineStr">
        <is>
          <t>En la hoja Reparto, fila 14 (monto que reparte), columna D: lo que reparte G1 es su costo directo, =C5. En cada celda amarilla de la columna D: monto que reparte × funcionarios del centro ÷ total de funcionarios (43, hoja Bases). Ejemplo: Registros médicos recibe 9500 × 4 ÷ 43 = B/. 883.72. En Excel: =D$14*Bases!C7/Bases!C$14</t>
        </is>
      </c>
    </row>
    <row r="9" ht="58" customHeight="1">
      <c r="A9" s="8" t="n">
        <v>4</v>
      </c>
      <c r="B9" s="9" t="inlineStr">
        <is>
          <t>Repartan G2 por metros cuadrados</t>
        </is>
      </c>
      <c r="C9" s="5" t="inlineStr">
        <is>
          <t>G2 reparte su costo directo más lo que recibió de G1: en E14, =C6+D6. Cada centro recibe ese monto × sus metros cuadrados ÷ el total de metros (hoja Bases, columna D).</t>
        </is>
      </c>
    </row>
    <row r="10" ht="58" customHeight="1">
      <c r="A10" s="8" t="n">
        <v>5</v>
      </c>
      <c r="B10" s="9" t="inlineStr">
        <is>
          <t>Sigan el mismo orden con A1, A2 y A3</t>
        </is>
      </c>
      <c r="C10" s="5" t="inlineStr">
        <is>
          <t>A1 reparte por atenciones registradas, A2 por recetas despachadas y A3 por pruebas solicitadas. Cada uno reparte su costo directo más todo lo que ya recibió. Un centro que ya repartió no recibe de los que vienen después.</t>
        </is>
      </c>
    </row>
    <row r="11" ht="58" customHeight="1">
      <c r="A11" s="8" t="n">
        <v>6</v>
      </c>
      <c r="B11" s="9" t="inlineStr">
        <is>
          <t>Costo total de cada centro final</t>
        </is>
      </c>
      <c r="C11" s="5" t="inlineStr">
        <is>
          <t>Columna I: costo directo + todo lo que recibió (columnas D a H).</t>
        </is>
      </c>
    </row>
    <row r="12" ht="58" customHeight="1">
      <c r="A12" s="8" t="n">
        <v>7</v>
      </c>
      <c r="B12" s="9" t="inlineStr">
        <is>
          <t>Costo por actividad</t>
        </is>
      </c>
      <c r="C12" s="5" t="inlineStr">
        <is>
          <t>Columna K: costo total ÷ producción del mes (columna J). Es lo que cuesta una consulta o una atención. Escriban la fórmula como texto en la columna N.</t>
        </is>
      </c>
    </row>
    <row r="13" ht="58" customHeight="1">
      <c r="A13" s="8" t="n">
        <v>8</v>
      </c>
      <c r="B13" s="9" t="inlineStr">
        <is>
          <t>Porcentaje fijo</t>
        </is>
      </c>
      <c r="C13" s="5" t="inlineStr">
        <is>
          <t>Columna M: 1 − insumos ÷ costo total. Los insumos son lo variable; el resto es fijo.</t>
        </is>
      </c>
    </row>
    <row r="14" ht="58" customHeight="1">
      <c r="A14" s="8" t="n">
        <v>9</v>
      </c>
      <c r="B14" s="9" t="inlineStr">
        <is>
          <t>Controlen el reparto</t>
        </is>
      </c>
      <c r="C14" s="5" t="inlineStr">
        <is>
          <t>La celda C18 debe decir: Sí, todo el costo llegó a los finales. Si dice No, se perdió o se duplicó costo: revisen la fila 14 y que cada centro reparta lo suyo más lo recibido.</t>
        </is>
      </c>
    </row>
    <row r="15">
      <c r="A15" s="4" t="inlineStr">
        <is>
          <t>B. Costeo por actividades y tiempo, hoja TDABC</t>
        </is>
      </c>
      <c r="B15" s="6" t="n"/>
      <c r="C15" s="7" t="n"/>
    </row>
    <row r="16" ht="58" customHeight="1">
      <c r="A16" s="8" t="n">
        <v>1</v>
      </c>
      <c r="B16" s="9" t="inlineStr">
        <is>
          <t>Costo del minuto de cada recurso</t>
        </is>
      </c>
      <c r="C16" s="5" t="inlineStr">
        <is>
          <t>Hoja TDABC, arriba: costo de capacidad del mes ÷ minutos disponibles al mes. Ejemplo: admisión, 1080 ÷ 7200 = B/. 0.15 por minuto.</t>
        </is>
      </c>
    </row>
    <row r="17" ht="58" customHeight="1">
      <c r="A17" s="8" t="n">
        <v>2</v>
      </c>
      <c r="B17" s="9" t="inlineStr">
        <is>
          <t>Costo de cada actividad</t>
        </is>
      </c>
      <c r="C17" s="5" t="inlineStr">
        <is>
          <t>Minutos que toma × costo del minuto del recurso que la hace. Ejemplo: abrir el expediente toma 5 minutos, 5 × 0.15 = B/. 0.75.</t>
        </is>
      </c>
    </row>
    <row r="18" ht="58" customHeight="1">
      <c r="A18" s="8" t="n">
        <v>3</v>
      </c>
      <c r="B18" s="9" t="inlineStr">
        <is>
          <t>Costo del ciclo completo</t>
        </is>
      </c>
      <c r="C18" s="5" t="inlineStr">
        <is>
          <t>Sumen las actividades más los insumos por consulta. Es el costo de la consulta de crecimiento y desarrollo por TDABC.</t>
        </is>
      </c>
    </row>
    <row r="19" ht="58" customHeight="1">
      <c r="A19" s="8" t="n">
        <v>4</v>
      </c>
      <c r="B19" s="9" t="inlineStr">
        <is>
          <t>Capacidad usada</t>
        </is>
      </c>
      <c r="C19" s="5" t="inlineStr">
        <is>
          <t>Minutos usados en el mes ÷ minutos disponibles. Lo que falta para llegar a 100 % es capacidad ociosa: se paga y no se usa.</t>
        </is>
      </c>
    </row>
    <row r="20" ht="58" customHeight="1">
      <c r="A20" s="8" t="n">
        <v>5</v>
      </c>
      <c r="B20" s="9" t="inlineStr">
        <is>
          <t>Comparen los dos métodos</t>
        </is>
      </c>
      <c r="C20" s="5" t="inlineStr">
        <is>
          <t>Pongan al lado el costo por actividad de crecimiento y desarrollo que salió del reparto (paso A7). No dan lo mismo: expliquen por qué en la sección 3.3 del tablero.</t>
        </is>
      </c>
    </row>
    <row r="21" ht="58" customHeight="1">
      <c r="A21" s="8" t="n">
        <v>6</v>
      </c>
      <c r="B21" s="9" t="inlineStr">
        <is>
          <t>C. Al tablero</t>
        </is>
      </c>
      <c r="C21" s="5" t="inlineStr">
        <is>
          <t>Traigan los resultados al tablero: los totales de Centros a 3.1; el directo, el indirecto y el total de cada final a 3.2; y el TDABC a 3.3. Adjunten la hoja trabajada a la entrega en Classroom.</t>
        </is>
      </c>
    </row>
  </sheetData>
  <mergeCells count="2">
    <mergeCell ref="A5:C5"/>
    <mergeCell ref="A15:C15"/>
  </mergeCells>
  <pageMargins left="0.75" right="0.75" top="1" bottom="1" header="0.5" footer="0.5"/>
</worksheet>
</file>

<file path=xl/worksheets/sheet3.xml><?xml version="1.0" encoding="utf-8"?>
<worksheet xmlns="http://schemas.openxmlformats.org/spreadsheetml/2006/main">
  <sheetPr>
    <tabColor rgb="003D6F86"/>
    <outlinePr summaryBelow="1" summaryRight="1"/>
    <pageSetUpPr/>
  </sheetPr>
  <dimension ref="A1:J2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24" customWidth="1" min="3" max="3"/>
    <col width="14" customWidth="1" min="4" max="4"/>
    <col width="13" customWidth="1" min="5" max="5"/>
    <col width="15" customWidth="1" min="6" max="6"/>
    <col width="15" customWidth="1" min="7" max="7"/>
    <col width="24" customWidth="1" min="8" max="8"/>
    <col width="12" customWidth="1" min="9" max="9"/>
    <col width="20" customWidth="1" min="10" max="10"/>
  </cols>
  <sheetData>
    <row r="1">
      <c r="A1" s="1" t="inlineStr">
        <is>
          <t>Centros de producción y costo directo del mes</t>
        </is>
      </c>
    </row>
    <row r="2">
      <c r="A2" s="2" t="inlineStr">
        <is>
          <t>CONSTRUCCIÓN DOCENTE FICTICIA. No son datos de ningún policentro real de la CSS ni del MINSA.</t>
        </is>
      </c>
    </row>
    <row r="3">
      <c r="A3" s="3" t="inlineStr">
        <is>
          <t>Mes de referencia ficticio. Balboas (B/.). Mano de obra: salarios y cuotas patronales. Insumos: medicamentos, material y reactivos. Gastos generales: servicios básicos, mantenimiento, depreciación de equipo.</t>
        </is>
      </c>
    </row>
    <row r="4" ht="42" customHeight="1">
      <c r="A4" s="10" t="inlineStr">
        <is>
          <t>Código</t>
        </is>
      </c>
      <c r="B4" s="10" t="inlineStr">
        <is>
          <t>Centro de producción</t>
        </is>
      </c>
      <c r="C4" s="10" t="inlineStr">
        <is>
          <t>Tipo</t>
        </is>
      </c>
      <c r="D4" s="10" t="inlineStr">
        <is>
          <t>Mano de obra B/.</t>
        </is>
      </c>
      <c r="E4" s="10" t="inlineStr">
        <is>
          <t>Insumos B/.</t>
        </is>
      </c>
      <c r="F4" s="10" t="inlineStr">
        <is>
          <t>Gastos generales B/.</t>
        </is>
      </c>
      <c r="G4" s="10" t="inlineStr">
        <is>
          <t>Costo directo B/.</t>
        </is>
      </c>
      <c r="H4" s="10" t="inlineStr">
        <is>
          <t>Fórmula del costo directo</t>
        </is>
      </c>
      <c r="I4" s="10" t="inlineStr">
        <is>
          <t>Producción del mes</t>
        </is>
      </c>
      <c r="J4" s="10" t="inlineStr">
        <is>
          <t>Unidad de producción</t>
        </is>
      </c>
    </row>
    <row r="5">
      <c r="A5" s="8" t="inlineStr">
        <is>
          <t>G1</t>
        </is>
      </c>
      <c r="B5" s="11" t="inlineStr">
        <is>
          <t>Dirección y administración</t>
        </is>
      </c>
      <c r="C5" s="11" t="inlineStr">
        <is>
          <t>Administrativo (general)</t>
        </is>
      </c>
      <c r="D5" s="12" t="n">
        <v>7800</v>
      </c>
      <c r="E5" s="12" t="n">
        <v>400</v>
      </c>
      <c r="F5" s="12" t="n">
        <v>1300</v>
      </c>
      <c r="G5" s="13">
        <f>SUM(D5:F5)</f>
        <v/>
      </c>
      <c r="H5" s="14">
        <f>_xlfn.FORMULATEXT(G5)</f>
        <v/>
      </c>
      <c r="I5" s="15" t="inlineStr"/>
      <c r="J5" s="11" t="inlineStr"/>
    </row>
    <row r="6">
      <c r="A6" s="8" t="inlineStr">
        <is>
          <t>G2</t>
        </is>
      </c>
      <c r="B6" s="11" t="inlineStr">
        <is>
          <t>Servicios generales: aseo, mantenimiento y seguridad</t>
        </is>
      </c>
      <c r="C6" s="11" t="inlineStr">
        <is>
          <t>Administrativo (general)</t>
        </is>
      </c>
      <c r="D6" s="12" t="n">
        <v>3800</v>
      </c>
      <c r="E6" s="12" t="n">
        <v>900</v>
      </c>
      <c r="F6" s="12" t="n">
        <v>2800</v>
      </c>
      <c r="G6" s="13">
        <f>SUM(D6:F6)</f>
        <v/>
      </c>
      <c r="H6" s="14">
        <f>_xlfn.FORMULATEXT(G6)</f>
        <v/>
      </c>
      <c r="I6" s="15" t="inlineStr"/>
      <c r="J6" s="11" t="inlineStr"/>
    </row>
    <row r="7">
      <c r="A7" s="8" t="inlineStr">
        <is>
          <t>A1</t>
        </is>
      </c>
      <c r="B7" s="11" t="inlineStr">
        <is>
          <t>Registros médicos y estadística</t>
        </is>
      </c>
      <c r="C7" s="11" t="inlineStr">
        <is>
          <t>De apoyo (logístico)</t>
        </is>
      </c>
      <c r="D7" s="12" t="n">
        <v>3000</v>
      </c>
      <c r="E7" s="12" t="n">
        <v>200</v>
      </c>
      <c r="F7" s="12" t="n">
        <v>300</v>
      </c>
      <c r="G7" s="13">
        <f>SUM(D7:F7)</f>
        <v/>
      </c>
      <c r="H7" s="14">
        <f>_xlfn.FORMULATEXT(G7)</f>
        <v/>
      </c>
      <c r="I7" s="15" t="inlineStr"/>
      <c r="J7" s="11" t="inlineStr"/>
    </row>
    <row r="8">
      <c r="A8" s="8" t="inlineStr">
        <is>
          <t>A2</t>
        </is>
      </c>
      <c r="B8" s="11" t="inlineStr">
        <is>
          <t>Farmacia</t>
        </is>
      </c>
      <c r="C8" s="11" t="inlineStr">
        <is>
          <t>De apoyo (asistencial)</t>
        </is>
      </c>
      <c r="D8" s="12" t="n">
        <v>2400</v>
      </c>
      <c r="E8" s="12" t="n">
        <v>300</v>
      </c>
      <c r="F8" s="12" t="n">
        <v>300</v>
      </c>
      <c r="G8" s="13">
        <f>SUM(D8:F8)</f>
        <v/>
      </c>
      <c r="H8" s="14">
        <f>_xlfn.FORMULATEXT(G8)</f>
        <v/>
      </c>
      <c r="I8" s="15" t="n">
        <v>5100</v>
      </c>
      <c r="J8" s="11" t="inlineStr">
        <is>
          <t>recetas despachadas</t>
        </is>
      </c>
    </row>
    <row r="9">
      <c r="A9" s="8" t="inlineStr">
        <is>
          <t>A3</t>
        </is>
      </c>
      <c r="B9" s="11" t="inlineStr">
        <is>
          <t>Laboratorio clínico</t>
        </is>
      </c>
      <c r="C9" s="11" t="inlineStr">
        <is>
          <t>De apoyo (asistencial)</t>
        </is>
      </c>
      <c r="D9" s="12" t="n">
        <v>8875</v>
      </c>
      <c r="E9" s="12" t="n">
        <v>7040</v>
      </c>
      <c r="F9" s="12" t="n">
        <v>2400</v>
      </c>
      <c r="G9" s="13">
        <f>SUM(D9:F9)</f>
        <v/>
      </c>
      <c r="H9" s="14">
        <f>_xlfn.FORMULATEXT(G9)</f>
        <v/>
      </c>
      <c r="I9" s="15" t="n">
        <v>8000</v>
      </c>
      <c r="J9" s="11" t="inlineStr">
        <is>
          <t>pruebas</t>
        </is>
      </c>
    </row>
    <row r="10">
      <c r="A10" s="8" t="inlineStr">
        <is>
          <t>F1</t>
        </is>
      </c>
      <c r="B10" s="11" t="inlineStr">
        <is>
          <t>Consulta de medicina general</t>
        </is>
      </c>
      <c r="C10" s="11" t="inlineStr">
        <is>
          <t>Final</t>
        </is>
      </c>
      <c r="D10" s="12" t="n">
        <v>33120</v>
      </c>
      <c r="E10" s="12" t="n">
        <v>14400</v>
      </c>
      <c r="F10" s="12" t="n">
        <v>3323</v>
      </c>
      <c r="G10" s="13">
        <f>SUM(D10:F10)</f>
        <v/>
      </c>
      <c r="H10" s="14">
        <f>_xlfn.FORMULATEXT(G10)</f>
        <v/>
      </c>
      <c r="I10" s="15" t="n">
        <v>4000</v>
      </c>
      <c r="J10" s="11" t="inlineStr">
        <is>
          <t>consultas</t>
        </is>
      </c>
    </row>
    <row r="11">
      <c r="A11" s="8" t="inlineStr">
        <is>
          <t>F2</t>
        </is>
      </c>
      <c r="B11" s="11" t="inlineStr">
        <is>
          <t>Control prenatal</t>
        </is>
      </c>
      <c r="C11" s="11" t="inlineStr">
        <is>
          <t>Final</t>
        </is>
      </c>
      <c r="D11" s="12" t="n">
        <v>5640</v>
      </c>
      <c r="E11" s="12" t="n">
        <v>675</v>
      </c>
      <c r="F11" s="12" t="n">
        <v>543</v>
      </c>
      <c r="G11" s="13">
        <f>SUM(D11:F11)</f>
        <v/>
      </c>
      <c r="H11" s="14">
        <f>_xlfn.FORMULATEXT(G11)</f>
        <v/>
      </c>
      <c r="I11" s="15" t="n">
        <v>450</v>
      </c>
      <c r="J11" s="11" t="inlineStr">
        <is>
          <t>consultas</t>
        </is>
      </c>
    </row>
    <row r="12">
      <c r="A12" s="8" t="inlineStr">
        <is>
          <t>F3</t>
        </is>
      </c>
      <c r="B12" s="11" t="inlineStr">
        <is>
          <t>Crecimiento y desarrollo</t>
        </is>
      </c>
      <c r="C12" s="11" t="inlineStr">
        <is>
          <t>Final</t>
        </is>
      </c>
      <c r="D12" s="12" t="n">
        <v>6960</v>
      </c>
      <c r="E12" s="12" t="n">
        <v>650</v>
      </c>
      <c r="F12" s="12" t="n">
        <v>213</v>
      </c>
      <c r="G12" s="13">
        <f>SUM(D12:F12)</f>
        <v/>
      </c>
      <c r="H12" s="14">
        <f>_xlfn.FORMULATEXT(G12)</f>
        <v/>
      </c>
      <c r="I12" s="15" t="n">
        <v>650</v>
      </c>
      <c r="J12" s="11" t="inlineStr">
        <is>
          <t>consultas</t>
        </is>
      </c>
    </row>
    <row r="13">
      <c r="A13" s="8" t="inlineStr">
        <is>
          <t>F4</t>
        </is>
      </c>
      <c r="B13" s="11" t="inlineStr">
        <is>
          <t>Urgencias</t>
        </is>
      </c>
      <c r="C13" s="11" t="inlineStr">
        <is>
          <t>Final</t>
        </is>
      </c>
      <c r="D13" s="12" t="n">
        <v>22000</v>
      </c>
      <c r="E13" s="12" t="n">
        <v>8000</v>
      </c>
      <c r="F13" s="12" t="n">
        <v>2600</v>
      </c>
      <c r="G13" s="13">
        <f>SUM(D13:F13)</f>
        <v/>
      </c>
      <c r="H13" s="14">
        <f>_xlfn.FORMULATEXT(G13)</f>
        <v/>
      </c>
      <c r="I13" s="15" t="n">
        <v>1200</v>
      </c>
      <c r="J13" s="11" t="inlineStr">
        <is>
          <t>atenciones</t>
        </is>
      </c>
    </row>
    <row r="14">
      <c r="B14" s="4" t="inlineStr">
        <is>
          <t>Total del policentro</t>
        </is>
      </c>
      <c r="D14" s="16">
        <f>SUM(D5:D13)</f>
        <v/>
      </c>
      <c r="E14" s="16">
        <f>SUM(E5:E13)</f>
        <v/>
      </c>
      <c r="F14" s="16">
        <f>SUM(F5:F13)</f>
        <v/>
      </c>
      <c r="G14" s="16">
        <f>SUM(G5:G13)</f>
        <v/>
      </c>
      <c r="H14" s="14">
        <f>_xlfn.FORMULATEXT(G14)</f>
        <v/>
      </c>
    </row>
    <row r="16">
      <c r="B16" s="4" t="inlineStr">
        <is>
          <t>Distribución por tipo de costo</t>
        </is>
      </c>
    </row>
    <row r="17">
      <c r="B17" s="11" t="inlineStr">
        <is>
          <t>Mano de obra</t>
        </is>
      </c>
      <c r="C17" s="17">
        <f>D14/$G$14</f>
        <v/>
      </c>
      <c r="D17" s="14">
        <f>_xlfn.FORMULATEXT(C17)</f>
        <v/>
      </c>
    </row>
    <row r="18">
      <c r="B18" s="11" t="inlineStr">
        <is>
          <t>Insumos</t>
        </is>
      </c>
      <c r="C18" s="17">
        <f>E14/$G$14</f>
        <v/>
      </c>
      <c r="D18" s="14">
        <f>_xlfn.FORMULATEXT(C18)</f>
        <v/>
      </c>
    </row>
    <row r="19">
      <c r="B19" s="11" t="inlineStr">
        <is>
          <t>Gastos generales</t>
        </is>
      </c>
      <c r="C19" s="17">
        <f>F14/$G$14</f>
        <v/>
      </c>
      <c r="D19" s="14">
        <f>_xlfn.FORMULATEXT(C19)</f>
        <v/>
      </c>
    </row>
    <row r="21" ht="30" customHeight="1">
      <c r="B21" s="18" t="inlineStr">
        <is>
          <t>Supuesto del curso para separar fijo y variable: en el corto plazo, los insumos directos de cada centro son el costo variable; la mano de obra, los gastos generales y lo que el centro recibe por reparto son fijos.</t>
        </is>
      </c>
    </row>
  </sheetData>
  <mergeCells count="1">
    <mergeCell ref="B21:J21"/>
  </mergeCells>
  <pageMargins left="0.75" right="0.75" top="1" bottom="1" header="0.5" footer="0.5"/>
</worksheet>
</file>

<file path=xl/worksheets/sheet4.xml><?xml version="1.0" encoding="utf-8"?>
<worksheet xmlns="http://schemas.openxmlformats.org/spreadsheetml/2006/main">
  <sheetPr>
    <tabColor rgb="003D6F86"/>
    <outlinePr summaryBelow="1" summaryRight="1"/>
    <pageSetUpPr/>
  </sheetPr>
  <dimension ref="A1:G1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18" customWidth="1" min="3" max="3"/>
    <col width="18" customWidth="1" min="4" max="4"/>
    <col width="18" customWidth="1" min="5" max="5"/>
    <col width="18" customWidth="1" min="6" max="6"/>
    <col width="20" customWidth="1" min="7" max="7"/>
  </cols>
  <sheetData>
    <row r="1">
      <c r="A1" s="1" t="inlineStr">
        <is>
          <t>Bases de reparto</t>
        </is>
      </c>
    </row>
    <row r="2">
      <c r="A2" s="2" t="inlineStr">
        <is>
          <t>CONSTRUCCIÓN DOCENTE FICTICIA. No son datos de ningún policentro real de la CSS ni del MINSA.</t>
        </is>
      </c>
    </row>
    <row r="3">
      <c r="A3" s="3" t="inlineStr">
        <is>
          <t>Cada columna es un centro que reparte, en el orden del reparto escalonado. La celda dice cuánto de esa base tiene el centro de la fila. En blanco: ese centro no recibe de esa columna.</t>
        </is>
      </c>
    </row>
    <row r="4" ht="42" customHeight="1">
      <c r="A4" s="10" t="inlineStr">
        <is>
          <t>Código</t>
        </is>
      </c>
      <c r="B4" s="10" t="inlineStr">
        <is>
          <t>Centro</t>
        </is>
      </c>
      <c r="C4" s="10" t="inlineStr">
        <is>
          <t>G1 reparte por: Funcionarios</t>
        </is>
      </c>
      <c r="D4" s="10" t="inlineStr">
        <is>
          <t>G2 reparte por: Metros cuadrados</t>
        </is>
      </c>
      <c r="E4" s="10" t="inlineStr">
        <is>
          <t>A1 reparte por: Atenciones registradas</t>
        </is>
      </c>
      <c r="F4" s="10" t="inlineStr">
        <is>
          <t>A2 reparte por: Recetas despachadas</t>
        </is>
      </c>
      <c r="G4" s="10" t="inlineStr">
        <is>
          <t>A3 reparte por: Pruebas de laboratorio solicitadas</t>
        </is>
      </c>
    </row>
    <row r="5">
      <c r="A5" s="8" t="inlineStr">
        <is>
          <t>G1</t>
        </is>
      </c>
      <c r="B5" s="11" t="inlineStr">
        <is>
          <t>Dirección y administración</t>
        </is>
      </c>
      <c r="C5" s="15" t="inlineStr"/>
      <c r="D5" s="15" t="inlineStr"/>
      <c r="E5" s="15" t="inlineStr"/>
      <c r="F5" s="15" t="inlineStr"/>
      <c r="G5" s="15" t="inlineStr"/>
    </row>
    <row r="6">
      <c r="A6" s="8" t="inlineStr">
        <is>
          <t>G2</t>
        </is>
      </c>
      <c r="B6" s="11" t="inlineStr">
        <is>
          <t>Servicios generales: aseo, mantenimiento y seguridad</t>
        </is>
      </c>
      <c r="C6" s="15" t="n">
        <v>6</v>
      </c>
      <c r="D6" s="15" t="inlineStr"/>
      <c r="E6" s="15" t="inlineStr"/>
      <c r="F6" s="15" t="inlineStr"/>
      <c r="G6" s="15" t="inlineStr"/>
    </row>
    <row r="7">
      <c r="A7" s="8" t="inlineStr">
        <is>
          <t>A1</t>
        </is>
      </c>
      <c r="B7" s="11" t="inlineStr">
        <is>
          <t>Registros médicos y estadística</t>
        </is>
      </c>
      <c r="C7" s="15" t="n">
        <v>4</v>
      </c>
      <c r="D7" s="15" t="n">
        <v>40</v>
      </c>
      <c r="E7" s="15" t="inlineStr"/>
      <c r="F7" s="15" t="inlineStr"/>
      <c r="G7" s="15" t="inlineStr"/>
    </row>
    <row r="8">
      <c r="A8" s="8" t="inlineStr">
        <is>
          <t>A2</t>
        </is>
      </c>
      <c r="B8" s="11" t="inlineStr">
        <is>
          <t>Farmacia</t>
        </is>
      </c>
      <c r="C8" s="15" t="n">
        <v>3</v>
      </c>
      <c r="D8" s="15" t="n">
        <v>60</v>
      </c>
      <c r="E8" s="15" t="inlineStr"/>
      <c r="F8" s="15" t="inlineStr"/>
      <c r="G8" s="15" t="inlineStr"/>
    </row>
    <row r="9">
      <c r="A9" s="8" t="inlineStr">
        <is>
          <t>A3</t>
        </is>
      </c>
      <c r="B9" s="11" t="inlineStr">
        <is>
          <t>Laboratorio clínico</t>
        </is>
      </c>
      <c r="C9" s="15" t="n">
        <v>7</v>
      </c>
      <c r="D9" s="15" t="n">
        <v>120</v>
      </c>
      <c r="E9" s="15" t="inlineStr"/>
      <c r="F9" s="15" t="inlineStr"/>
      <c r="G9" s="15" t="inlineStr"/>
    </row>
    <row r="10">
      <c r="A10" s="8" t="inlineStr">
        <is>
          <t>F1</t>
        </is>
      </c>
      <c r="B10" s="11" t="inlineStr">
        <is>
          <t>Consulta de medicina general</t>
        </is>
      </c>
      <c r="C10" s="15" t="n">
        <v>10</v>
      </c>
      <c r="D10" s="15" t="n">
        <v>320</v>
      </c>
      <c r="E10" s="15" t="n">
        <v>4000</v>
      </c>
      <c r="F10" s="15" t="n">
        <v>3600</v>
      </c>
      <c r="G10" s="15" t="n">
        <v>3600</v>
      </c>
    </row>
    <row r="11">
      <c r="A11" s="8" t="inlineStr">
        <is>
          <t>F2</t>
        </is>
      </c>
      <c r="B11" s="11" t="inlineStr">
        <is>
          <t>Control prenatal</t>
        </is>
      </c>
      <c r="C11" s="15" t="n">
        <v>2</v>
      </c>
      <c r="D11" s="15" t="n">
        <v>40</v>
      </c>
      <c r="E11" s="15" t="n">
        <v>450</v>
      </c>
      <c r="F11" s="15" t="n">
        <v>300</v>
      </c>
      <c r="G11" s="15" t="n">
        <v>600</v>
      </c>
    </row>
    <row r="12">
      <c r="A12" s="8" t="inlineStr">
        <is>
          <t>F3</t>
        </is>
      </c>
      <c r="B12" s="11" t="inlineStr">
        <is>
          <t>Crecimiento y desarrollo</t>
        </is>
      </c>
      <c r="C12" s="15" t="n">
        <v>3</v>
      </c>
      <c r="D12" s="15" t="n">
        <v>40</v>
      </c>
      <c r="E12" s="15" t="n">
        <v>650</v>
      </c>
      <c r="F12" s="15" t="n">
        <v>100</v>
      </c>
      <c r="G12" s="15" t="n">
        <v>100</v>
      </c>
    </row>
    <row r="13">
      <c r="A13" s="8" t="inlineStr">
        <is>
          <t>F4</t>
        </is>
      </c>
      <c r="B13" s="11" t="inlineStr">
        <is>
          <t>Urgencias</t>
        </is>
      </c>
      <c r="C13" s="15" t="n">
        <v>8</v>
      </c>
      <c r="D13" s="15" t="n">
        <v>220</v>
      </c>
      <c r="E13" s="15" t="n">
        <v>1200</v>
      </c>
      <c r="F13" s="15" t="n">
        <v>1100</v>
      </c>
      <c r="G13" s="15" t="n">
        <v>3700</v>
      </c>
    </row>
    <row r="14">
      <c r="B14" s="4" t="inlineStr">
        <is>
          <t>Total de la base</t>
        </is>
      </c>
      <c r="C14" s="19">
        <f>SUM(C5:C13)</f>
        <v/>
      </c>
      <c r="D14" s="19">
        <f>SUM(D5:D13)</f>
        <v/>
      </c>
      <c r="E14" s="19">
        <f>SUM(E5:E13)</f>
        <v/>
      </c>
      <c r="F14" s="19">
        <f>SUM(F5:F13)</f>
        <v/>
      </c>
      <c r="G14" s="19">
        <f>SUM(G5:G13)</f>
        <v/>
      </c>
    </row>
    <row r="15">
      <c r="B15" s="3" t="inlineStr">
        <is>
          <t>Fórmula del total</t>
        </is>
      </c>
      <c r="C15" s="14">
        <f>_xlfn.FORMULATEXT(C14)</f>
        <v/>
      </c>
    </row>
    <row r="17" ht="44" customHeight="1">
      <c r="B17" s="18" t="inlineStr">
        <is>
          <t>Orden del reparto: primero Dirección (G1), luego Servicios generales (G2), Registros médicos (A1), Farmacia (A2) y Laboratorio (A3). Un centro que ya repartió no recibe de los que vienen después. La base de A1 es la producción de cada final.</t>
        </is>
      </c>
    </row>
  </sheetData>
  <mergeCells count="1">
    <mergeCell ref="B17:G17"/>
  </mergeCells>
  <pageMargins left="0.75" right="0.75" top="1" bottom="1" header="0.5" footer="0.5"/>
</worksheet>
</file>

<file path=xl/worksheets/sheet5.xml><?xml version="1.0" encoding="utf-8"?>
<worksheet xmlns="http://schemas.openxmlformats.org/spreadsheetml/2006/main">
  <sheetPr>
    <tabColor rgb="00A2532A"/>
    <outlinePr summaryBelow="1" summaryRight="1"/>
    <pageSetUpPr/>
  </sheetPr>
  <dimension ref="A1:N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15" customWidth="1" min="3" max="3"/>
    <col width="13" customWidth="1" min="4" max="4"/>
    <col width="13" customWidth="1" min="5" max="5"/>
    <col width="13" customWidth="1" min="6" max="6"/>
    <col width="13" customWidth="1" min="7" max="7"/>
    <col width="13" customWidth="1" min="8" max="8"/>
    <col width="15" customWidth="1" min="9" max="9"/>
    <col width="11" customWidth="1" min="10" max="10"/>
    <col width="15" customWidth="1" min="11" max="11"/>
    <col width="15" customWidth="1" min="12" max="12"/>
    <col width="11" customWidth="1" min="13" max="13"/>
    <col width="34" customWidth="1" min="14" max="14"/>
  </cols>
  <sheetData>
    <row r="1">
      <c r="A1" s="1" t="inlineStr">
        <is>
          <t>Asignación escalonada y costo por actividad</t>
        </is>
      </c>
    </row>
    <row r="2">
      <c r="A2" s="2" t="inlineStr">
        <is>
          <t>CONSTRUCCIÓN DOCENTE FICTICIA. No son datos de ningún policentro real de la CSS ni del MINSA.</t>
        </is>
      </c>
    </row>
    <row r="3">
      <c r="A3" s="3" t="inlineStr">
        <is>
          <t>Costo que recibe cada centro = monto que reparte el centro de la columna × base del centro de la fila ÷ total de la base de esa columna.</t>
        </is>
      </c>
    </row>
    <row r="4" ht="42" customHeight="1">
      <c r="A4" s="10" t="inlineStr">
        <is>
          <t>Código</t>
        </is>
      </c>
      <c r="B4" s="10" t="inlineStr">
        <is>
          <t>Centro</t>
        </is>
      </c>
      <c r="C4" s="10" t="inlineStr">
        <is>
          <t>Costo directo B/.</t>
        </is>
      </c>
      <c r="D4" s="10" t="inlineStr">
        <is>
          <t>Recibe de G1</t>
        </is>
      </c>
      <c r="E4" s="10" t="inlineStr">
        <is>
          <t>Recibe de G2</t>
        </is>
      </c>
      <c r="F4" s="10" t="inlineStr">
        <is>
          <t>Recibe de A1</t>
        </is>
      </c>
      <c r="G4" s="10" t="inlineStr">
        <is>
          <t>Recibe de A2</t>
        </is>
      </c>
      <c r="H4" s="10" t="inlineStr">
        <is>
          <t>Recibe de A3</t>
        </is>
      </c>
      <c r="I4" s="10" t="inlineStr">
        <is>
          <t>Costo total B/.</t>
        </is>
      </c>
      <c r="J4" s="10" t="inlineStr">
        <is>
          <t>Producción</t>
        </is>
      </c>
      <c r="K4" s="10" t="inlineStr">
        <is>
          <t>Costo por actividad B/.</t>
        </is>
      </c>
      <c r="L4" s="10" t="inlineStr">
        <is>
          <t>Insumos (variable) B/.</t>
        </is>
      </c>
      <c r="M4" s="10" t="inlineStr">
        <is>
          <t>Porcentaje fijo</t>
        </is>
      </c>
      <c r="N4" s="10" t="inlineStr">
        <is>
          <t>Fórmula del costo por actividad</t>
        </is>
      </c>
    </row>
    <row r="5">
      <c r="A5" s="8" t="inlineStr">
        <is>
          <t>G1</t>
        </is>
      </c>
      <c r="B5" s="11" t="inlineStr">
        <is>
          <t>Dirección y administración</t>
        </is>
      </c>
      <c r="C5" s="20">
        <f>Centros!G5</f>
        <v/>
      </c>
      <c r="D5" s="13" t="n"/>
      <c r="E5" s="13" t="n"/>
      <c r="F5" s="13" t="n"/>
      <c r="G5" s="13" t="n"/>
      <c r="H5" s="13" t="n"/>
      <c r="I5" s="21" t="inlineStr">
        <is>
          <t>se reparte</t>
        </is>
      </c>
    </row>
    <row r="6">
      <c r="A6" s="8" t="inlineStr">
        <is>
          <t>G2</t>
        </is>
      </c>
      <c r="B6" s="11" t="inlineStr">
        <is>
          <t>Servicios generales: aseo, mantenimiento y seguridad</t>
        </is>
      </c>
      <c r="C6" s="20">
        <f>Centros!G6</f>
        <v/>
      </c>
      <c r="D6" s="22" t="n"/>
      <c r="E6" s="13" t="n"/>
      <c r="F6" s="13" t="n"/>
      <c r="G6" s="13" t="n"/>
      <c r="H6" s="13" t="n"/>
      <c r="I6" s="21" t="inlineStr">
        <is>
          <t>se reparte</t>
        </is>
      </c>
    </row>
    <row r="7">
      <c r="A7" s="8" t="inlineStr">
        <is>
          <t>A1</t>
        </is>
      </c>
      <c r="B7" s="11" t="inlineStr">
        <is>
          <t>Registros médicos y estadística</t>
        </is>
      </c>
      <c r="C7" s="20">
        <f>Centros!G7</f>
        <v/>
      </c>
      <c r="D7" s="22" t="n"/>
      <c r="E7" s="22" t="n"/>
      <c r="F7" s="13" t="n"/>
      <c r="G7" s="13" t="n"/>
      <c r="H7" s="13" t="n"/>
      <c r="I7" s="21" t="inlineStr">
        <is>
          <t>se reparte</t>
        </is>
      </c>
    </row>
    <row r="8">
      <c r="A8" s="8" t="inlineStr">
        <is>
          <t>A2</t>
        </is>
      </c>
      <c r="B8" s="11" t="inlineStr">
        <is>
          <t>Farmacia</t>
        </is>
      </c>
      <c r="C8" s="20">
        <f>Centros!G8</f>
        <v/>
      </c>
      <c r="D8" s="22" t="n"/>
      <c r="E8" s="22" t="n"/>
      <c r="F8" s="13" t="n"/>
      <c r="G8" s="13" t="n"/>
      <c r="H8" s="13" t="n"/>
      <c r="I8" s="21" t="inlineStr">
        <is>
          <t>se reparte</t>
        </is>
      </c>
    </row>
    <row r="9">
      <c r="A9" s="8" t="inlineStr">
        <is>
          <t>A3</t>
        </is>
      </c>
      <c r="B9" s="11" t="inlineStr">
        <is>
          <t>Laboratorio clínico</t>
        </is>
      </c>
      <c r="C9" s="20">
        <f>Centros!G9</f>
        <v/>
      </c>
      <c r="D9" s="22" t="n"/>
      <c r="E9" s="22" t="n"/>
      <c r="F9" s="13" t="n"/>
      <c r="G9" s="13" t="n"/>
      <c r="H9" s="13" t="n"/>
      <c r="I9" s="21" t="inlineStr">
        <is>
          <t>se reparte</t>
        </is>
      </c>
    </row>
    <row r="10">
      <c r="A10" s="8" t="inlineStr">
        <is>
          <t>F1</t>
        </is>
      </c>
      <c r="B10" s="11" t="inlineStr">
        <is>
          <t>Consulta de medicina general</t>
        </is>
      </c>
      <c r="C10" s="20">
        <f>Centros!G10</f>
        <v/>
      </c>
      <c r="D10" s="22" t="n"/>
      <c r="E10" s="22" t="n"/>
      <c r="F10" s="22" t="n"/>
      <c r="G10" s="22" t="n"/>
      <c r="H10" s="22" t="n"/>
      <c r="I10" s="22" t="n"/>
      <c r="J10" s="23">
        <f>Centros!I10</f>
        <v/>
      </c>
      <c r="K10" s="22" t="n"/>
      <c r="L10" s="20">
        <f>Centros!E10</f>
        <v/>
      </c>
      <c r="M10" s="24" t="n"/>
      <c r="N10" s="21" t="inlineStr">
        <is>
          <t>Escriba aquí su fórmula como texto</t>
        </is>
      </c>
    </row>
    <row r="11">
      <c r="A11" s="8" t="inlineStr">
        <is>
          <t>F2</t>
        </is>
      </c>
      <c r="B11" s="11" t="inlineStr">
        <is>
          <t>Control prenatal</t>
        </is>
      </c>
      <c r="C11" s="20">
        <f>Centros!G11</f>
        <v/>
      </c>
      <c r="D11" s="22" t="n"/>
      <c r="E11" s="22" t="n"/>
      <c r="F11" s="22" t="n"/>
      <c r="G11" s="22" t="n"/>
      <c r="H11" s="22" t="n"/>
      <c r="I11" s="22" t="n"/>
      <c r="J11" s="23">
        <f>Centros!I11</f>
        <v/>
      </c>
      <c r="K11" s="22" t="n"/>
      <c r="L11" s="20">
        <f>Centros!E11</f>
        <v/>
      </c>
      <c r="M11" s="24" t="n"/>
      <c r="N11" s="21" t="inlineStr">
        <is>
          <t>Escriba aquí su fórmula como texto</t>
        </is>
      </c>
    </row>
    <row r="12">
      <c r="A12" s="8" t="inlineStr">
        <is>
          <t>F3</t>
        </is>
      </c>
      <c r="B12" s="11" t="inlineStr">
        <is>
          <t>Crecimiento y desarrollo</t>
        </is>
      </c>
      <c r="C12" s="20">
        <f>Centros!G12</f>
        <v/>
      </c>
      <c r="D12" s="22" t="n"/>
      <c r="E12" s="22" t="n"/>
      <c r="F12" s="22" t="n"/>
      <c r="G12" s="22" t="n"/>
      <c r="H12" s="22" t="n"/>
      <c r="I12" s="22" t="n"/>
      <c r="J12" s="23">
        <f>Centros!I12</f>
        <v/>
      </c>
      <c r="K12" s="22" t="n"/>
      <c r="L12" s="20">
        <f>Centros!E12</f>
        <v/>
      </c>
      <c r="M12" s="24" t="n"/>
      <c r="N12" s="21" t="inlineStr">
        <is>
          <t>Escriba aquí su fórmula como texto</t>
        </is>
      </c>
    </row>
    <row r="13">
      <c r="A13" s="8" t="inlineStr">
        <is>
          <t>F4</t>
        </is>
      </c>
      <c r="B13" s="11" t="inlineStr">
        <is>
          <t>Urgencias</t>
        </is>
      </c>
      <c r="C13" s="20">
        <f>Centros!G13</f>
        <v/>
      </c>
      <c r="D13" s="22" t="n"/>
      <c r="E13" s="22" t="n"/>
      <c r="F13" s="22" t="n"/>
      <c r="G13" s="22" t="n"/>
      <c r="H13" s="22" t="n"/>
      <c r="I13" s="22" t="n"/>
      <c r="J13" s="23">
        <f>Centros!I13</f>
        <v/>
      </c>
      <c r="K13" s="22" t="n"/>
      <c r="L13" s="20">
        <f>Centros!E13</f>
        <v/>
      </c>
      <c r="M13" s="24" t="n"/>
      <c r="N13" s="21" t="inlineStr">
        <is>
          <t>Escriba aquí su fórmula como texto</t>
        </is>
      </c>
    </row>
    <row r="14">
      <c r="B14" s="4" t="inlineStr">
        <is>
          <t>Monto que reparte el centro de la columna</t>
        </is>
      </c>
      <c r="D14" s="25" t="n"/>
      <c r="E14" s="25" t="n"/>
      <c r="F14" s="25" t="n"/>
      <c r="G14" s="25" t="n"/>
      <c r="H14" s="25" t="n"/>
    </row>
    <row r="16">
      <c r="B16" s="8" t="inlineStr">
        <is>
          <t>Control 1. Costo directo de todo el policentro</t>
        </is>
      </c>
      <c r="C16" s="13">
        <f>SUM(C5:C13)</f>
        <v/>
      </c>
    </row>
    <row r="17">
      <c r="B17" s="8" t="inlineStr">
        <is>
          <t>Control 2. Suma de los costos totales de los cuatro finales</t>
        </is>
      </c>
      <c r="C17" s="13">
        <f>SUM(I10:I13)</f>
        <v/>
      </c>
      <c r="G17" s="14">
        <f>_xlfn.FORMULATEXT(C17)</f>
        <v/>
      </c>
    </row>
    <row r="18">
      <c r="B18" s="8" t="inlineStr">
        <is>
          <t>¿Cuadra el reparto?</t>
        </is>
      </c>
      <c r="C18" s="26">
        <f>IF(ABS(C16-C17)&lt;0.5,"Sí: todo el costo llegó a los finales","No: revise el reparto")</f>
        <v/>
      </c>
      <c r="D18" s="6" t="n"/>
      <c r="E18" s="6" t="n"/>
      <c r="F18" s="7" t="n"/>
    </row>
    <row r="20" ht="58" customHeight="1">
      <c r="B20" s="27" t="inlineStr">
        <is>
          <t>Cómo llenarlo. 1) En la fila del monto que reparte, sume el costo directo del centro de la columna más lo que ya recibió. 2) En cada celda amarilla de la columna: monto que reparte × base del centro ÷ total de la base (hoja Bases). 3) Costo total = costo directo + todo lo recibido. 4) Costo por actividad = costo total ÷ producción. 5) Porcentaje fijo = 1 − insumos ÷ costo total. Ejemplo de la primera celda: Registros médicos recibe de G1 = monto de G1 × 4 ÷ 43.</t>
        </is>
      </c>
    </row>
  </sheetData>
  <mergeCells count="2">
    <mergeCell ref="B20:M20"/>
    <mergeCell ref="C18:F18"/>
  </mergeCells>
  <pageMargins left="0.75" right="0.75" top="1" bottom="1" header="0.5" footer="0.5"/>
</worksheet>
</file>

<file path=xl/worksheets/sheet6.xml><?xml version="1.0" encoding="utf-8"?>
<worksheet xmlns="http://schemas.openxmlformats.org/spreadsheetml/2006/main">
  <sheetPr>
    <tabColor rgb="003D6F86"/>
    <outlinePr summaryBelow="1" summaryRight="1"/>
    <pageSetUpPr/>
  </sheetPr>
  <dimension ref="A1:H20"/>
  <sheetViews>
    <sheetView showGridLines="0" workbookViewId="0">
      <selection activeCell="A1" sqref="A1"/>
    </sheetView>
  </sheetViews>
  <sheetFormatPr baseColWidth="8" defaultRowHeight="15"/>
  <cols>
    <col width="52" customWidth="1" min="1" max="1"/>
    <col width="16" customWidth="1" min="2" max="2"/>
    <col width="22" customWidth="1" min="3" max="3"/>
    <col width="16" customWidth="1" min="4" max="4"/>
    <col width="16" customWidth="1" min="5" max="5"/>
    <col width="10" customWidth="1" min="6" max="6"/>
    <col width="16" customWidth="1" min="7" max="7"/>
    <col width="20" customWidth="1" min="8" max="8"/>
  </cols>
  <sheetData>
    <row r="1">
      <c r="A1" s="1" t="inlineStr">
        <is>
          <t>El laboratorio del policentro: el ejemplo del deck S04</t>
        </is>
      </c>
    </row>
    <row r="2">
      <c r="A2" s="2" t="inlineStr">
        <is>
          <t>CONSTRUCCIÓN DOCENTE FICTICIA. No son datos de ningún policentro real de la CSS ni del MINSA.</t>
        </is>
      </c>
    </row>
    <row r="3">
      <c r="A3" s="3" t="inlineStr">
        <is>
          <t>Costo promedio = gasto del mes ÷ pruebas del mes. Química: el laboratorio privado ofrece la prueba a B/. 1.90.</t>
        </is>
      </c>
    </row>
    <row r="4" ht="42" customHeight="1">
      <c r="A4" s="10" t="inlineStr">
        <is>
          <t>Prueba</t>
        </is>
      </c>
      <c r="B4" s="10" t="inlineStr">
        <is>
          <t>Mano de obra B/.</t>
        </is>
      </c>
      <c r="C4" s="10" t="inlineStr">
        <is>
          <t>Insumos B/.</t>
        </is>
      </c>
      <c r="D4" s="10" t="inlineStr">
        <is>
          <t>Gastos generales B/.</t>
        </is>
      </c>
      <c r="E4" s="10" t="inlineStr">
        <is>
          <t>Gasto del mes B/.</t>
        </is>
      </c>
      <c r="F4" s="10" t="inlineStr">
        <is>
          <t>Pruebas</t>
        </is>
      </c>
      <c r="G4" s="10" t="inlineStr">
        <is>
          <t>Costo promedio B/.</t>
        </is>
      </c>
      <c r="H4" s="10" t="inlineStr">
        <is>
          <t>Fórmula</t>
        </is>
      </c>
    </row>
    <row r="5">
      <c r="A5" s="8" t="inlineStr">
        <is>
          <t>Urinálisis</t>
        </is>
      </c>
      <c r="B5" s="12" t="n">
        <v>3900</v>
      </c>
      <c r="C5" s="12" t="n">
        <v>2350</v>
      </c>
      <c r="D5" s="12" t="n">
        <v>900</v>
      </c>
      <c r="E5" s="13">
        <f>SUM(B5:D5)</f>
        <v/>
      </c>
      <c r="F5" s="15" t="n">
        <v>2800</v>
      </c>
      <c r="G5" s="28">
        <f>E5/F5</f>
        <v/>
      </c>
      <c r="H5" s="14">
        <f>_xlfn.FORMULATEXT(G5)</f>
        <v/>
      </c>
    </row>
    <row r="6">
      <c r="A6" s="8" t="inlineStr">
        <is>
          <t>Química</t>
        </is>
      </c>
      <c r="B6" s="12" t="n">
        <v>1975</v>
      </c>
      <c r="C6" s="12" t="n">
        <v>2000</v>
      </c>
      <c r="D6" s="12" t="n">
        <v>700</v>
      </c>
      <c r="E6" s="13">
        <f>SUM(B6:D6)</f>
        <v/>
      </c>
      <c r="F6" s="15" t="n">
        <v>2200</v>
      </c>
      <c r="G6" s="28">
        <f>E6/F6</f>
        <v/>
      </c>
      <c r="H6" s="14">
        <f>_xlfn.FORMULATEXT(G6)</f>
        <v/>
      </c>
    </row>
    <row r="7">
      <c r="A7" s="8" t="inlineStr">
        <is>
          <t>Serología</t>
        </is>
      </c>
      <c r="B7" s="12" t="n">
        <v>3000</v>
      </c>
      <c r="C7" s="12" t="n">
        <v>2690</v>
      </c>
      <c r="D7" s="12" t="n">
        <v>800</v>
      </c>
      <c r="E7" s="13">
        <f>SUM(B7:D7)</f>
        <v/>
      </c>
      <c r="F7" s="15" t="n">
        <v>3000</v>
      </c>
      <c r="G7" s="28">
        <f>E7/F7</f>
        <v/>
      </c>
      <c r="H7" s="14">
        <f>_xlfn.FORMULATEXT(G7)</f>
        <v/>
      </c>
    </row>
    <row r="8">
      <c r="A8" s="4" t="inlineStr">
        <is>
          <t>Total</t>
        </is>
      </c>
      <c r="B8" s="16">
        <f>SUM(B5:B7)</f>
        <v/>
      </c>
      <c r="C8" s="16">
        <f>SUM(C5:C7)</f>
        <v/>
      </c>
      <c r="D8" s="16">
        <f>SUM(D5:D7)</f>
        <v/>
      </c>
      <c r="E8" s="16">
        <f>SUM(E5:E7)</f>
        <v/>
      </c>
      <c r="F8" s="19">
        <f>SUM(F5:F7)</f>
        <v/>
      </c>
      <c r="G8" s="16">
        <f>E8/F8</f>
        <v/>
      </c>
    </row>
    <row r="9">
      <c r="A9" s="11" t="inlineStr">
        <is>
          <t>¿Cuadra con el costo directo del laboratorio en Centros?</t>
        </is>
      </c>
      <c r="E9" s="26">
        <f>IF(ABS(E8-Centros!G9)&lt;0.01,"Sí","No")</f>
        <v/>
      </c>
    </row>
    <row r="11">
      <c r="A11" s="4" t="inlineStr">
        <is>
          <t>La oferta del laboratorio privado para la química</t>
        </is>
      </c>
    </row>
    <row r="12">
      <c r="A12" s="11" t="inlineStr">
        <is>
          <t>Precio por prueba del privado B/.</t>
        </is>
      </c>
      <c r="B12" s="12" t="n">
        <v>1.9</v>
      </c>
    </row>
    <row r="13">
      <c r="A13" s="11" t="inlineStr">
        <is>
          <t>Pruebas de química del mes</t>
        </is>
      </c>
      <c r="B13" s="29">
        <f>F6</f>
        <v/>
      </c>
      <c r="C13" s="14">
        <f>_xlfn.FORMULATEXT(B13)</f>
        <v/>
      </c>
    </row>
    <row r="14">
      <c r="A14" s="11" t="inlineStr">
        <is>
          <t>Lo que desaparece si se compra afuera: insumos B/.</t>
        </is>
      </c>
      <c r="B14" s="13">
        <f>C6</f>
        <v/>
      </c>
      <c r="C14" s="14">
        <f>_xlfn.FORMULATEXT(B14)</f>
        <v/>
      </c>
    </row>
    <row r="15">
      <c r="A15" s="11" t="inlineStr">
        <is>
          <t>Lo que se queda: mano de obra y gastos generales B/.</t>
        </is>
      </c>
      <c r="B15" s="13">
        <f>B6+D6</f>
        <v/>
      </c>
      <c r="C15" s="14">
        <f>_xlfn.FORMULATEXT(B15)</f>
        <v/>
      </c>
    </row>
    <row r="16">
      <c r="A16" s="11" t="inlineStr">
        <is>
          <t>Producir adentro B/.</t>
        </is>
      </c>
      <c r="B16" s="13">
        <f>E6</f>
        <v/>
      </c>
      <c r="C16" s="14">
        <f>_xlfn.FORMULATEXT(B16)</f>
        <v/>
      </c>
    </row>
    <row r="17">
      <c r="A17" s="11" t="inlineStr">
        <is>
          <t>Comprar afuera más lo fijo que se queda B/.</t>
        </is>
      </c>
      <c r="B17" s="13">
        <f>B12*B13+B15</f>
        <v/>
      </c>
      <c r="C17" s="14">
        <f>_xlfn.FORMULATEXT(B17)</f>
        <v/>
      </c>
    </row>
    <row r="18">
      <c r="A18" s="11" t="inlineStr">
        <is>
          <t>Diferencia al mes B/.</t>
        </is>
      </c>
      <c r="B18" s="28">
        <f>B17-B16</f>
        <v/>
      </c>
      <c r="C18" s="14">
        <f>_xlfn.FORMULATEXT(B18)</f>
        <v/>
      </c>
    </row>
    <row r="20">
      <c r="A20" s="3" t="inlineStr">
        <is>
          <t>Pregunta del deck S04: ¿cierra la química y la compra afuera? Solo conviene si el personal y el espacio se reasignan.</t>
        </is>
      </c>
    </row>
  </sheetData>
  <pageMargins left="0.75" right="0.75" top="1" bottom="1" header="0.5" footer="0.5"/>
</worksheet>
</file>

<file path=xl/worksheets/sheet7.xml><?xml version="1.0" encoding="utf-8"?>
<worksheet xmlns="http://schemas.openxmlformats.org/spreadsheetml/2006/main">
  <sheetPr>
    <tabColor rgb="003D6F86"/>
    <outlinePr summaryBelow="1" summaryRight="1"/>
    <pageSetUpPr/>
  </sheetPr>
  <dimension ref="A1:F21"/>
  <sheetViews>
    <sheetView showGridLines="0" workbookViewId="0">
      <selection activeCell="A1" sqref="A1"/>
    </sheetView>
  </sheetViews>
  <sheetFormatPr baseColWidth="8" defaultRowHeight="15"/>
  <cols>
    <col width="58" customWidth="1" min="1" max="1"/>
    <col width="26" customWidth="1" min="2" max="2"/>
    <col width="18" customWidth="1" min="3" max="3"/>
    <col width="18" customWidth="1" min="4" max="4"/>
    <col width="18" customWidth="1" min="5" max="5"/>
    <col width="22" customWidth="1" min="6" max="6"/>
  </cols>
  <sheetData>
    <row r="1">
      <c r="A1" s="1" t="inlineStr">
        <is>
          <t>Costeo por actividades y tiempo: consulta de crecimiento y desarrollo</t>
        </is>
      </c>
    </row>
    <row r="2">
      <c r="A2" s="2" t="inlineStr">
        <is>
          <t>CONSTRUCCIÓN DOCENTE FICTICIA. No son datos de ningún policentro real de la CSS ni del MINSA.</t>
        </is>
      </c>
    </row>
    <row r="3">
      <c r="A3" s="3" t="inlineStr">
        <is>
          <t>Dos números por recurso: cuánto cuesta su minuto y cuántos minutos toma cada actividad. Costo del minuto = costo de capacidad ÷ minutos disponibles.</t>
        </is>
      </c>
    </row>
    <row r="4" ht="42" customHeight="1">
      <c r="A4" s="10" t="inlineStr">
        <is>
          <t>Recurso</t>
        </is>
      </c>
      <c r="B4" s="10" t="inlineStr">
        <is>
          <t>Costo de capacidad del mes B/.</t>
        </is>
      </c>
      <c r="C4" s="10" t="inlineStr">
        <is>
          <t>Minutos disponibles al mes</t>
        </is>
      </c>
      <c r="D4" s="10" t="inlineStr">
        <is>
          <t>Costo del minuto B/.</t>
        </is>
      </c>
      <c r="E4" s="10" t="inlineStr">
        <is>
          <t>Fórmula</t>
        </is>
      </c>
    </row>
    <row r="5">
      <c r="A5" s="8" t="inlineStr">
        <is>
          <t>Admisión y registros médicos</t>
        </is>
      </c>
      <c r="B5" s="12" t="n">
        <v>1080</v>
      </c>
      <c r="C5" s="15" t="n">
        <v>7200</v>
      </c>
      <c r="D5" s="30">
        <f>B5/C5</f>
        <v/>
      </c>
      <c r="E5" s="14">
        <f>_xlfn.FORMULATEXT(D5)</f>
        <v/>
      </c>
    </row>
    <row r="6">
      <c r="A6" s="8" t="inlineStr">
        <is>
          <t>Enfermería</t>
        </is>
      </c>
      <c r="B6" s="12" t="n">
        <v>2400</v>
      </c>
      <c r="C6" s="15" t="n">
        <v>7200</v>
      </c>
      <c r="D6" s="30">
        <f>B6/C6</f>
        <v/>
      </c>
      <c r="E6" s="14">
        <f>_xlfn.FORMULATEXT(D6)</f>
        <v/>
      </c>
    </row>
    <row r="7">
      <c r="A7" s="8" t="inlineStr">
        <is>
          <t>Médico general</t>
        </is>
      </c>
      <c r="B7" s="12" t="n">
        <v>4320</v>
      </c>
      <c r="C7" s="15" t="n">
        <v>7200</v>
      </c>
      <c r="D7" s="30">
        <f>B7/C7</f>
        <v/>
      </c>
      <c r="E7" s="14">
        <f>_xlfn.FORMULATEXT(D7)</f>
        <v/>
      </c>
    </row>
    <row r="8">
      <c r="A8" s="3" t="inlineStr">
        <is>
          <t>Minutos disponibles: 150 horas de trabajo al mes menos pausas, reuniones y capacitación, por persona. Enfermería: B/. 2,400 por 7,200 minutos, como en el deck S04.</t>
        </is>
      </c>
    </row>
    <row r="10" ht="42" customHeight="1">
      <c r="A10" s="10" t="inlineStr">
        <is>
          <t>Actividad del proceso, de la llegada a la salida</t>
        </is>
      </c>
      <c r="B10" s="10" t="inlineStr">
        <is>
          <t>Recurso</t>
        </is>
      </c>
      <c r="C10" s="10" t="inlineStr">
        <is>
          <t>Minutos por consulta</t>
        </is>
      </c>
      <c r="D10" s="10" t="inlineStr">
        <is>
          <t>Costo del minuto B/.</t>
        </is>
      </c>
      <c r="E10" s="10" t="inlineStr">
        <is>
          <t>Costo de la actividad B/.</t>
        </is>
      </c>
      <c r="F10" s="10" t="inlineStr">
        <is>
          <t>Fórmula</t>
        </is>
      </c>
    </row>
    <row r="11">
      <c r="A11" s="11" t="inlineStr">
        <is>
          <t>Admisión y apertura del expediente</t>
        </is>
      </c>
      <c r="B11" s="31">
        <f>A5</f>
        <v/>
      </c>
      <c r="C11" s="15" t="n">
        <v>5</v>
      </c>
      <c r="D11" s="32">
        <f>D5</f>
        <v/>
      </c>
      <c r="E11" s="13">
        <f>C11*D11</f>
        <v/>
      </c>
      <c r="F11" s="14">
        <f>_xlfn.FORMULATEXT(E11)</f>
        <v/>
      </c>
    </row>
    <row r="12">
      <c r="A12" s="11" t="inlineStr">
        <is>
          <t>Preconsulta: peso, talla, perímetro y vacunas</t>
        </is>
      </c>
      <c r="B12" s="31">
        <f>A6</f>
        <v/>
      </c>
      <c r="C12" s="15" t="n">
        <v>20</v>
      </c>
      <c r="D12" s="32">
        <f>D6</f>
        <v/>
      </c>
      <c r="E12" s="13">
        <f>C12*D12</f>
        <v/>
      </c>
      <c r="F12" s="14">
        <f>_xlfn.FORMULATEXT(E12)</f>
        <v/>
      </c>
    </row>
    <row r="13">
      <c r="A13" s="11" t="inlineStr">
        <is>
          <t>Valoración médica</t>
        </is>
      </c>
      <c r="B13" s="31">
        <f>A7</f>
        <v/>
      </c>
      <c r="C13" s="15" t="n">
        <v>5</v>
      </c>
      <c r="D13" s="32">
        <f>D7</f>
        <v/>
      </c>
      <c r="E13" s="13">
        <f>C13*D13</f>
        <v/>
      </c>
      <c r="F13" s="14">
        <f>_xlfn.FORMULATEXT(E13)</f>
        <v/>
      </c>
    </row>
    <row r="14">
      <c r="A14" s="11" t="inlineStr">
        <is>
          <t>Insumos por consulta (material y biológicos no cubiertos por el programa)</t>
        </is>
      </c>
      <c r="E14" s="12" t="n">
        <v>1</v>
      </c>
    </row>
    <row r="15">
      <c r="A15" s="4" t="inlineStr">
        <is>
          <t>Costo del ciclo completo por TDABC</t>
        </is>
      </c>
      <c r="E15" s="16">
        <f>SUM(E11:E14)</f>
        <v/>
      </c>
      <c r="F15" s="14">
        <f>_xlfn.FORMULATEXT(E15)</f>
        <v/>
      </c>
    </row>
    <row r="17" ht="42" customHeight="1">
      <c r="A17" s="10" t="inlineStr">
        <is>
          <t>Capacidad usada</t>
        </is>
      </c>
      <c r="B17" s="10" t="inlineStr">
        <is>
          <t>Consultas del mes</t>
        </is>
      </c>
      <c r="C17" s="10" t="inlineStr">
        <is>
          <t>Minutos usados</t>
        </is>
      </c>
      <c r="D17" s="10" t="inlineStr">
        <is>
          <t>Minutos disponibles</t>
        </is>
      </c>
      <c r="E17" s="10" t="inlineStr">
        <is>
          <t>Capacidad usada</t>
        </is>
      </c>
      <c r="F17" s="10" t="inlineStr">
        <is>
          <t>Fórmula</t>
        </is>
      </c>
    </row>
    <row r="18">
      <c r="A18" s="11" t="inlineStr">
        <is>
          <t>Enfermería (2 personas)</t>
        </is>
      </c>
      <c r="B18" s="23">
        <f>Centros!I12</f>
        <v/>
      </c>
      <c r="C18" s="29">
        <f>B18*C12</f>
        <v/>
      </c>
      <c r="D18" s="29">
        <f>C6*2</f>
        <v/>
      </c>
      <c r="E18" s="33">
        <f>C18/D18</f>
        <v/>
      </c>
      <c r="F18" s="14">
        <f>_xlfn.FORMULATEXT(E18)</f>
        <v/>
      </c>
    </row>
    <row r="19">
      <c r="A19" s="11" t="inlineStr">
        <is>
          <t>Médico general (media jornada)</t>
        </is>
      </c>
      <c r="B19" s="23">
        <f>Centros!I12</f>
        <v/>
      </c>
      <c r="C19" s="29">
        <f>B19*C13</f>
        <v/>
      </c>
      <c r="D19" s="29">
        <f>C7*0.5</f>
        <v/>
      </c>
      <c r="E19" s="33">
        <f>C19/D19</f>
        <v/>
      </c>
      <c r="F19" s="14">
        <f>_xlfn.FORMULATEXT(E19)</f>
        <v/>
      </c>
    </row>
    <row r="21">
      <c r="A21" s="3" t="inlineStr">
        <is>
          <t>Su equipo compara este costo con el costo por actividad de crecimiento y desarrollo que sale del reparto escalonado. No dan lo mismo: expliquen por qué.</t>
        </is>
      </c>
    </row>
  </sheetData>
  <pageMargins left="0.75" right="0.75" top="1" bottom="1" header="0.5" footer="0.5"/>
</worksheet>
</file>

<file path=xl/worksheets/sheet8.xml><?xml version="1.0" encoding="utf-8"?>
<worksheet xmlns="http://schemas.openxmlformats.org/spreadsheetml/2006/main">
  <sheetPr>
    <tabColor rgb="003D6F86"/>
    <outlinePr summaryBelow="1" summaryRight="1"/>
    <pageSetUpPr/>
  </sheetPr>
  <dimension ref="A1:H16"/>
  <sheetViews>
    <sheetView showGridLines="0" workbookViewId="0">
      <selection activeCell="A1" sqref="A1"/>
    </sheetView>
  </sheetViews>
  <sheetFormatPr baseColWidth="8" defaultRowHeight="15"/>
  <cols>
    <col width="46" customWidth="1" min="1" max="1"/>
    <col width="16" customWidth="1" min="2" max="2"/>
    <col width="18" customWidth="1" min="3" max="3"/>
    <col width="10" customWidth="1" min="4" max="4"/>
    <col width="14" customWidth="1" min="5" max="5"/>
    <col width="16" customWidth="1" min="6" max="6"/>
    <col width="22" customWidth="1" min="7" max="7"/>
    <col width="20" customWidth="1" min="8" max="8"/>
  </cols>
  <sheetData>
    <row r="1">
      <c r="A1" s="1" t="inlineStr">
        <is>
          <t>Quién recibió la atención: asegurados y no asegurados</t>
        </is>
      </c>
    </row>
    <row r="2">
      <c r="A2" s="2" t="inlineStr">
        <is>
          <t>CONSTRUCCIÓN DOCENTE FICTICIA. No son datos de ningún policentro real de la CSS ni del MINSA.</t>
        </is>
      </c>
    </row>
    <row r="3">
      <c r="A3" s="3" t="inlineStr">
        <is>
          <t>El policentro es de la CSS, pero en provincia atiende también a no asegurados. Esta hoja calcula cuánto cuesta esa atención; quién la paga hoy, lo investiga su equipo con fuente.</t>
        </is>
      </c>
    </row>
    <row r="4" ht="42" customHeight="1">
      <c r="A4" s="10" t="inlineStr">
        <is>
          <t>Centro final</t>
        </is>
      </c>
      <c r="B4" s="10" t="inlineStr">
        <is>
          <t>Atenciones a asegurados</t>
        </is>
      </c>
      <c r="C4" s="10" t="inlineStr">
        <is>
          <t>Atenciones a no asegurados</t>
        </is>
      </c>
      <c r="D4" s="10" t="inlineStr">
        <is>
          <t>Total</t>
        </is>
      </c>
      <c r="E4" s="10" t="inlineStr">
        <is>
          <t>Porcentaje no asegurado</t>
        </is>
      </c>
      <c r="F4" s="10" t="inlineStr">
        <is>
          <t>Costo por actividad B/.</t>
        </is>
      </c>
      <c r="G4" s="10" t="inlineStr">
        <is>
          <t>Costo de la atención a no asegurados B/.</t>
        </is>
      </c>
      <c r="H4" s="10" t="inlineStr">
        <is>
          <t>Fórmula</t>
        </is>
      </c>
    </row>
    <row r="5">
      <c r="A5" s="8" t="inlineStr">
        <is>
          <t>Consulta de medicina general</t>
        </is>
      </c>
      <c r="B5" s="15" t="n">
        <v>3240</v>
      </c>
      <c r="C5" s="15" t="n">
        <v>760</v>
      </c>
      <c r="D5" s="29">
        <f>B5+C5</f>
        <v/>
      </c>
      <c r="E5" s="17">
        <f>IF(D5&gt;0,C5/D5,0)</f>
        <v/>
      </c>
      <c r="F5" s="20">
        <f>Reparto!K10</f>
        <v/>
      </c>
      <c r="G5" s="28">
        <f>C5*F5</f>
        <v/>
      </c>
      <c r="H5" s="14">
        <f>_xlfn.FORMULATEXT(G5)</f>
        <v/>
      </c>
    </row>
    <row r="6">
      <c r="A6" s="8" t="inlineStr">
        <is>
          <t>Control prenatal</t>
        </is>
      </c>
      <c r="B6" s="15" t="n">
        <v>315</v>
      </c>
      <c r="C6" s="15" t="n">
        <v>135</v>
      </c>
      <c r="D6" s="29">
        <f>B6+C6</f>
        <v/>
      </c>
      <c r="E6" s="17">
        <f>IF(D6&gt;0,C6/D6,0)</f>
        <v/>
      </c>
      <c r="F6" s="20">
        <f>Reparto!K11</f>
        <v/>
      </c>
      <c r="G6" s="28">
        <f>C6*F6</f>
        <v/>
      </c>
      <c r="H6" s="14">
        <f>_xlfn.FORMULATEXT(G6)</f>
        <v/>
      </c>
    </row>
    <row r="7">
      <c r="A7" s="8" t="inlineStr">
        <is>
          <t>Crecimiento y desarrollo</t>
        </is>
      </c>
      <c r="B7" s="15" t="n">
        <v>455</v>
      </c>
      <c r="C7" s="15" t="n">
        <v>195</v>
      </c>
      <c r="D7" s="29">
        <f>B7+C7</f>
        <v/>
      </c>
      <c r="E7" s="17">
        <f>IF(D7&gt;0,C7/D7,0)</f>
        <v/>
      </c>
      <c r="F7" s="20">
        <f>Reparto!K12</f>
        <v/>
      </c>
      <c r="G7" s="28">
        <f>C7*F7</f>
        <v/>
      </c>
      <c r="H7" s="14">
        <f>_xlfn.FORMULATEXT(G7)</f>
        <v/>
      </c>
    </row>
    <row r="8">
      <c r="A8" s="8" t="inlineStr">
        <is>
          <t>Urgencias</t>
        </is>
      </c>
      <c r="B8" s="15" t="n">
        <v>900</v>
      </c>
      <c r="C8" s="15" t="n">
        <v>300</v>
      </c>
      <c r="D8" s="29">
        <f>B8+C8</f>
        <v/>
      </c>
      <c r="E8" s="17">
        <f>IF(D8&gt;0,C8/D8,0)</f>
        <v/>
      </c>
      <c r="F8" s="20">
        <f>Reparto!K13</f>
        <v/>
      </c>
      <c r="G8" s="28">
        <f>C8*F8</f>
        <v/>
      </c>
      <c r="H8" s="14">
        <f>_xlfn.FORMULATEXT(G8)</f>
        <v/>
      </c>
    </row>
    <row r="9">
      <c r="A9" s="4" t="inlineStr">
        <is>
          <t>Total del mes</t>
        </is>
      </c>
      <c r="B9" s="19">
        <f>SUM(B5:B8)</f>
        <v/>
      </c>
      <c r="C9" s="19">
        <f>SUM(C5:C8)</f>
        <v/>
      </c>
      <c r="D9" s="19">
        <f>SUM(D5:D8)</f>
        <v/>
      </c>
      <c r="G9" s="16">
        <f>SUM(G5:G8)</f>
        <v/>
      </c>
    </row>
    <row r="10">
      <c r="A10" s="11" t="inlineStr">
        <is>
          <t>Al año (× 12)</t>
        </is>
      </c>
      <c r="G10" s="28">
        <f>G9*12</f>
        <v/>
      </c>
      <c r="H10" s="14">
        <f>_xlfn.FORMULATEXT(G10)</f>
        <v/>
      </c>
    </row>
    <row r="12">
      <c r="A12" s="8" t="inlineStr">
        <is>
          <t>¿Cuánto recupera hoy la CSS por esa atención, y de quién? Fuente:</t>
        </is>
      </c>
    </row>
    <row r="13">
      <c r="A13" s="34" t="inlineStr">
        <is>
          <t>Monto recuperado al mes B/. (si lo encuentran)</t>
        </is>
      </c>
      <c r="B13" s="35" t="n"/>
    </row>
    <row r="15">
      <c r="A15" s="3" t="inlineStr">
        <is>
          <t>Investíguenlo con fuente: convenio o compensación de costos entre el MINSA y la CSS, cobro al paciente, o nadie. No afirmen una cifra sin su fuente.</t>
        </is>
      </c>
    </row>
    <row r="16">
      <c r="A16" s="3" t="inlineStr">
        <is>
          <t>La columna de costo por actividad se llena sola cuando su equipo termine la hoja Reparto.</t>
        </is>
      </c>
    </row>
  </sheetData>
  <pageMargins left="0.75" right="0.75" top="1" bottom="1" header="0.5" footer="0.5"/>
</worksheet>
</file>

<file path=xl/worksheets/sheet9.xml><?xml version="1.0" encoding="utf-8"?>
<worksheet xmlns="http://schemas.openxmlformats.org/spreadsheetml/2006/main">
  <sheetPr>
    <tabColor rgb="003D6F86"/>
    <outlinePr summaryBelow="1" summaryRight="1"/>
    <pageSetUpPr/>
  </sheetPr>
  <dimension ref="A1:C23"/>
  <sheetViews>
    <sheetView showGridLines="0" workbookViewId="0">
      <selection activeCell="A1" sqref="A1"/>
    </sheetView>
  </sheetViews>
  <sheetFormatPr baseColWidth="8" defaultRowHeight="15"/>
  <cols>
    <col width="66" customWidth="1" min="1" max="1"/>
    <col width="18" customWidth="1" min="2" max="2"/>
    <col width="48" customWidth="1" min="3" max="3"/>
  </cols>
  <sheetData>
    <row r="1">
      <c r="A1" s="1" t="inlineStr">
        <is>
          <t>El costo unitario aplicado al territorio: escenario actual frente a escenario en red</t>
        </is>
      </c>
    </row>
    <row r="2">
      <c r="A2" s="2" t="inlineStr">
        <is>
          <t>CONSTRUCCIÓN DOCENTE FICTICIA. No son datos de ningún policentro real de la CSS ni del MINSA.</t>
        </is>
      </c>
    </row>
    <row r="3">
      <c r="A3" s="3" t="inlineStr">
        <is>
          <t>Ejemplo con hipertensión arterial. Cambie los datos azules por los de su territorio del hito 1 y cite cada fuente en el tablero. El denominador es la población del territorio.</t>
        </is>
      </c>
    </row>
    <row r="4" ht="42" customHeight="1">
      <c r="A4" s="10" t="inlineStr">
        <is>
          <t>Dato o cálculo</t>
        </is>
      </c>
      <c r="B4" s="10" t="inlineStr">
        <is>
          <t>Valor</t>
        </is>
      </c>
      <c r="C4" s="10" t="inlineStr">
        <is>
          <t>Fórmula o fuente</t>
        </is>
      </c>
    </row>
    <row r="5">
      <c r="A5" s="11" t="inlineStr">
        <is>
          <t>Población del territorio (denominador)</t>
        </is>
      </c>
      <c r="B5" s="36" t="n">
        <v>480000</v>
      </c>
      <c r="C5" s="21" t="inlineStr">
        <is>
          <t>Del hito 1. Ejemplo ficticio.</t>
        </is>
      </c>
    </row>
    <row r="6">
      <c r="A6" s="11" t="inlineStr">
        <is>
          <t>Proporción de adultos de 20 años y más</t>
        </is>
      </c>
      <c r="B6" s="37" t="n">
        <v>0.62</v>
      </c>
      <c r="C6" s="21" t="inlineStr">
        <is>
          <t>Del hito 1, pirámide. Ejemplo ficticio.</t>
        </is>
      </c>
    </row>
    <row r="7">
      <c r="A7" s="11" t="inlineStr">
        <is>
          <t>Prevalencia de hipertensión en adultos</t>
        </is>
      </c>
      <c r="B7" s="37" t="n">
        <v>0.3</v>
      </c>
      <c r="C7" s="21" t="inlineStr">
        <is>
          <t>Encuesta con año. Ejemplo ficticio.</t>
        </is>
      </c>
    </row>
    <row r="8">
      <c r="A8" s="11" t="inlineStr">
        <is>
          <t>Personas con hipertensión en el territorio</t>
        </is>
      </c>
      <c r="B8" s="29">
        <f>B5*B6*B7</f>
        <v/>
      </c>
      <c r="C8" s="14">
        <f>_xlfn.FORMULATEXT(B8)</f>
        <v/>
      </c>
    </row>
    <row r="9">
      <c r="A9" s="11" t="inlineStr">
        <is>
          <t>Proporción en control en la red pública</t>
        </is>
      </c>
      <c r="B9" s="37" t="n">
        <v>0.35</v>
      </c>
      <c r="C9" s="21" t="inlineStr">
        <is>
          <t>Ejemplo ficticio.</t>
        </is>
      </c>
    </row>
    <row r="10">
      <c r="A10" s="11" t="inlineStr">
        <is>
          <t>Pacientes en control</t>
        </is>
      </c>
      <c r="B10" s="29">
        <f>B8*B9</f>
        <v/>
      </c>
      <c r="C10" s="14">
        <f>_xlfn.FORMULATEXT(B10)</f>
        <v/>
      </c>
    </row>
    <row r="11">
      <c r="A11" s="11" t="inlineStr">
        <is>
          <t>Consultas por paciente al año</t>
        </is>
      </c>
      <c r="B11" s="36" t="n">
        <v>4</v>
      </c>
      <c r="C11" s="21" t="inlineStr">
        <is>
          <t>Norma o guía de manejo.</t>
        </is>
      </c>
    </row>
    <row r="12">
      <c r="A12" s="11" t="inlineStr">
        <is>
          <t>Consultas al año</t>
        </is>
      </c>
      <c r="B12" s="29">
        <f>B10*B11</f>
        <v/>
      </c>
      <c r="C12" s="14">
        <f>_xlfn.FORMULATEXT(B12)</f>
        <v/>
      </c>
    </row>
    <row r="13">
      <c r="A13" s="11" t="inlineStr">
        <is>
          <t>Costo por consulta en medicina general B/.</t>
        </is>
      </c>
      <c r="B13" s="20">
        <f>IF(Reparto!K10&gt;0,Reparto!K10,18)</f>
        <v/>
      </c>
      <c r="C13" s="21" t="inlineStr">
        <is>
          <t>Del reparto; si aún está vacío, el B/. 18 del deck S04.</t>
        </is>
      </c>
    </row>
    <row r="14">
      <c r="A14" s="11" t="inlineStr">
        <is>
          <t>Costo por atención en urgencias B/.</t>
        </is>
      </c>
      <c r="B14" s="20">
        <f>IF(Reparto!K13&gt;0,Reparto!K13,40)</f>
        <v/>
      </c>
      <c r="C14" s="21" t="inlineStr">
        <is>
          <t>Del reparto; si aún está vacío, B/. 40 provisional.</t>
        </is>
      </c>
    </row>
    <row r="15">
      <c r="A15" s="8" t="inlineStr">
        <is>
          <t>ESCENARIO ACTUAL: proporción de atenciones que ocurren en urgencias</t>
        </is>
      </c>
      <c r="B15" s="37" t="n">
        <v>0.3</v>
      </c>
      <c r="C15" s="21" t="inlineStr">
        <is>
          <t>Supuesto que su equipo debe sostener.</t>
        </is>
      </c>
    </row>
    <row r="16">
      <c r="A16" s="11" t="inlineStr">
        <is>
          <t>Costo anual actual B/.</t>
        </is>
      </c>
      <c r="B16" s="28">
        <f>B12*(B15*B14+(1-B15)*B13)</f>
        <v/>
      </c>
      <c r="C16" s="14">
        <f>_xlfn.FORMULATEXT(B16)</f>
        <v/>
      </c>
    </row>
    <row r="17">
      <c r="A17" s="8" t="inlineStr">
        <is>
          <t>ESCENARIO EN RED: proporción en urgencias con primer nivel resolutivo</t>
        </is>
      </c>
      <c r="B17" s="37" t="n">
        <v>0.1</v>
      </c>
      <c r="C17" s="21" t="inlineStr">
        <is>
          <t>Meta de la propuesta.</t>
        </is>
      </c>
    </row>
    <row r="18">
      <c r="A18" s="11" t="inlineStr">
        <is>
          <t>Costo anual en red B/.</t>
        </is>
      </c>
      <c r="B18" s="28">
        <f>B12*(B17*B14+(1-B17)*B13)</f>
        <v/>
      </c>
      <c r="C18" s="14">
        <f>_xlfn.FORMULATEXT(B18)</f>
        <v/>
      </c>
    </row>
    <row r="19">
      <c r="A19" s="11" t="inlineStr">
        <is>
          <t>Diferencia anual B/.</t>
        </is>
      </c>
      <c r="B19" s="28">
        <f>B16-B18</f>
        <v/>
      </c>
      <c r="C19" s="14">
        <f>_xlfn.FORMULATEXT(B19)</f>
        <v/>
      </c>
    </row>
    <row r="20">
      <c r="A20" s="11" t="inlineStr">
        <is>
          <t>Costo por paciente en control al año, actual B/.</t>
        </is>
      </c>
      <c r="B20" s="13">
        <f>IF(B10&gt;0,B16/B10,0)</f>
        <v/>
      </c>
      <c r="C20" s="14">
        <f>_xlfn.FORMULATEXT(B20)</f>
        <v/>
      </c>
    </row>
    <row r="21">
      <c r="A21" s="11" t="inlineStr">
        <is>
          <t>Costo por paciente en control al año, en red B/.</t>
        </is>
      </c>
      <c r="B21" s="13">
        <f>IF(B10&gt;0,B18/B10,0)</f>
        <v/>
      </c>
      <c r="C21" s="14">
        <f>_xlfn.FORMULATEXT(B21)</f>
        <v/>
      </c>
    </row>
    <row r="23">
      <c r="A23" s="2" t="inlineStr">
        <is>
          <t>Supuesto que la IA suele proponer mal: usar la población asegurada como denominador. Aquí el denominador es la población del territorio.</t>
        </is>
      </c>
    </row>
  </sheetData>
  <pageMargins left="0.75" right="0.75" top="1" bottom="1" header="0.5" footer="0.5"/>
</worksheet>
</file>

<file path=xl/worksheets/sheet10.xml><?xml version="1.0" encoding="utf-8"?>
<worksheet xmlns="http://schemas.openxmlformats.org/spreadsheetml/2006/main">
  <sheetPr>
    <tabColor rgb="003D6F86"/>
    <outlinePr summaryBelow="1" summaryRight="1"/>
    <pageSetUpPr/>
  </sheetPr>
  <dimension ref="A1:G12"/>
  <sheetViews>
    <sheetView showGridLines="0" workbookViewId="0">
      <selection activeCell="A1" sqref="A1"/>
    </sheetView>
  </sheetViews>
  <sheetFormatPr baseColWidth="8" defaultRowHeight="15"/>
  <cols>
    <col width="34" customWidth="1" min="1" max="1"/>
    <col width="12" customWidth="1" min="2" max="2"/>
    <col width="12" customWidth="1" min="3" max="3"/>
    <col width="16" customWidth="1" min="4" max="4"/>
    <col width="16" customWidth="1" min="5" max="5"/>
    <col width="20" customWidth="1" min="6" max="6"/>
    <col width="34" customWidth="1" min="7" max="7"/>
  </cols>
  <sheetData>
    <row r="1">
      <c r="A1" s="1" t="inlineStr">
        <is>
          <t>Presupuesto por programas: meta por costo unitario</t>
        </is>
      </c>
    </row>
    <row r="2">
      <c r="A2" s="2" t="inlineStr">
        <is>
          <t>CONSTRUCCIÓN DOCENTE FICTICIA. No son datos de ningún policentro real de la CSS ni del MINSA.</t>
        </is>
      </c>
    </row>
    <row r="3">
      <c r="A3" s="3" t="inlineStr">
        <is>
          <t>Los tres programas del deck S04 como ejemplo. Su equipo agrega los programas de su propuesta con su meta y su costo unitario.</t>
        </is>
      </c>
    </row>
    <row r="4" ht="42" customHeight="1">
      <c r="A4" s="10" t="inlineStr">
        <is>
          <t>Programa</t>
        </is>
      </c>
      <c r="B4" s="10" t="inlineStr">
        <is>
          <t>Meta anual</t>
        </is>
      </c>
      <c r="C4" s="10" t="inlineStr">
        <is>
          <t>Unidad</t>
        </is>
      </c>
      <c r="D4" s="10" t="inlineStr">
        <is>
          <t>Costo unitario B/.</t>
        </is>
      </c>
      <c r="E4" s="10" t="inlineStr">
        <is>
          <t>Presupuesto B/.</t>
        </is>
      </c>
      <c r="F4" s="10" t="inlineStr">
        <is>
          <t>Fórmula</t>
        </is>
      </c>
      <c r="G4" s="10" t="inlineStr">
        <is>
          <t>De dónde sale el costo unitario</t>
        </is>
      </c>
    </row>
    <row r="5">
      <c r="A5" s="8" t="inlineStr">
        <is>
          <t>Control prenatal</t>
        </is>
      </c>
      <c r="B5" s="15" t="n">
        <v>1200</v>
      </c>
      <c r="C5" s="11" t="inlineStr">
        <is>
          <t>consultas</t>
        </is>
      </c>
      <c r="D5" s="12" t="n">
        <v>22</v>
      </c>
      <c r="E5" s="13">
        <f>B5*D5</f>
        <v/>
      </c>
      <c r="F5" s="14">
        <f>_xlfn.FORMULATEXT(E5)</f>
        <v/>
      </c>
      <c r="G5" s="21" t="inlineStr">
        <is>
          <t>Reparto, control prenatal</t>
        </is>
      </c>
    </row>
    <row r="6">
      <c r="A6" s="8" t="inlineStr">
        <is>
          <t>Crecimiento y desarrollo</t>
        </is>
      </c>
      <c r="B6" s="15" t="n">
        <v>2000</v>
      </c>
      <c r="C6" s="11" t="inlineStr">
        <is>
          <t>consultas</t>
        </is>
      </c>
      <c r="D6" s="12" t="n">
        <v>15</v>
      </c>
      <c r="E6" s="13">
        <f>B6*D6</f>
        <v/>
      </c>
      <c r="F6" s="14">
        <f>_xlfn.FORMULATEXT(E6)</f>
        <v/>
      </c>
      <c r="G6" s="21" t="inlineStr">
        <is>
          <t>Reparto, crecimiento y desarrollo</t>
        </is>
      </c>
    </row>
    <row r="7">
      <c r="A7" s="8" t="inlineStr">
        <is>
          <t>Adulto con hipertensión</t>
        </is>
      </c>
      <c r="B7" s="15" t="n">
        <v>3600</v>
      </c>
      <c r="C7" s="11" t="inlineStr">
        <is>
          <t>consultas</t>
        </is>
      </c>
      <c r="D7" s="12" t="n">
        <v>18</v>
      </c>
      <c r="E7" s="13">
        <f>B7*D7</f>
        <v/>
      </c>
      <c r="F7" s="14">
        <f>_xlfn.FORMULATEXT(E7)</f>
        <v/>
      </c>
      <c r="G7" s="21" t="inlineStr">
        <is>
          <t>Reparto, medicina general</t>
        </is>
      </c>
    </row>
    <row r="8">
      <c r="A8" s="38" t="inlineStr">
        <is>
          <t>Programa de su propuesta</t>
        </is>
      </c>
      <c r="B8" s="36" t="n"/>
      <c r="C8" s="38" t="n"/>
      <c r="D8" s="35" t="n"/>
      <c r="E8" s="13">
        <f>B8*D8</f>
        <v/>
      </c>
      <c r="F8" s="14">
        <f>_xlfn.FORMULATEXT(E8)</f>
        <v/>
      </c>
    </row>
    <row r="9">
      <c r="A9" s="38" t="inlineStr">
        <is>
          <t>Programa de su propuesta</t>
        </is>
      </c>
      <c r="B9" s="36" t="n"/>
      <c r="C9" s="38" t="n"/>
      <c r="D9" s="35" t="n"/>
      <c r="E9" s="13">
        <f>B9*D9</f>
        <v/>
      </c>
      <c r="F9" s="14">
        <f>_xlfn.FORMULATEXT(E9)</f>
        <v/>
      </c>
    </row>
    <row r="10">
      <c r="A10" s="4" t="inlineStr">
        <is>
          <t>Total del anteproyecto</t>
        </is>
      </c>
      <c r="E10" s="16">
        <f>SUM(E5:E9)</f>
        <v/>
      </c>
      <c r="F10" s="14">
        <f>_xlfn.FORMULATEXT(E10)</f>
        <v/>
      </c>
    </row>
    <row r="12">
      <c r="A12" s="3" t="inlineStr">
        <is>
          <t>Compare con la propuesta del administrador del escenario: lo ejecutado el año anterior más 5 %. ¿Qué le falta a esa propuesta que esta tabla sí tiene?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2026-10-25T02:10:53Z</dcterms:created>
  <dcterms:modified xmlns:dcterms="http://purl.org/dc/terms/" xmlns:xsi="http://www.w3.org/2001/XMLSchema-instance" xsi:type="dcterms:W3CDTF">2026-10-25T02:10:53Z</dcterms:modified>
</cp:coreProperties>
</file>