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abb6ae90a6fdff09/02 CURSOS IMPARTIDOS/07 UDELAS/ECONOMIA DE LA SALUD/2026_ACTUALIZACION/UDELAS_ECON/TRABAJO_FINAL/"/>
    </mc:Choice>
  </mc:AlternateContent>
  <xr:revisionPtr revIDLastSave="0" documentId="11_E0A45203CAC965F294018DF0EC45A573ACF2A1B6" xr6:coauthVersionLast="47" xr6:coauthVersionMax="47" xr10:uidLastSave="{00000000-0000-0000-0000-000000000000}"/>
  <bookViews>
    <workbookView xWindow="-108" yWindow="-108" windowWidth="23256" windowHeight="13896" xr2:uid="{00000000-000D-0000-FFFF-FFFF00000000}"/>
  </bookViews>
  <sheets>
    <sheet name="Léame" sheetId="1" r:id="rId1"/>
    <sheet name="Centros" sheetId="2" r:id="rId2"/>
    <sheet name="Bases" sheetId="3" r:id="rId3"/>
    <sheet name="Reparto" sheetId="4" r:id="rId4"/>
    <sheet name="Laboratorio" sheetId="5" r:id="rId5"/>
    <sheet name="TDABC" sheetId="6" r:id="rId6"/>
    <sheet name="Aseguramiento" sheetId="7" r:id="rId7"/>
    <sheet name="Escenarios" sheetId="8" r:id="rId8"/>
    <sheet name="Presupuesto"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9" l="1"/>
  <c r="E8" i="9"/>
  <c r="E7" i="9"/>
  <c r="E6" i="9"/>
  <c r="E5" i="9"/>
  <c r="E10" i="9" s="1"/>
  <c r="B14" i="8"/>
  <c r="B13" i="8"/>
  <c r="B8" i="8"/>
  <c r="B10" i="8" s="1"/>
  <c r="D9" i="7"/>
  <c r="C9" i="7"/>
  <c r="B9" i="7"/>
  <c r="G8" i="7"/>
  <c r="F8" i="7"/>
  <c r="D8" i="7"/>
  <c r="E8" i="7" s="1"/>
  <c r="F7" i="7"/>
  <c r="G7" i="7" s="1"/>
  <c r="D7" i="7"/>
  <c r="E7" i="7" s="1"/>
  <c r="F6" i="7"/>
  <c r="G6" i="7" s="1"/>
  <c r="E6" i="7"/>
  <c r="D6" i="7"/>
  <c r="F5" i="7"/>
  <c r="G5" i="7" s="1"/>
  <c r="D5" i="7"/>
  <c r="E5" i="7" s="1"/>
  <c r="D19" i="6"/>
  <c r="B19" i="6"/>
  <c r="C19" i="6" s="1"/>
  <c r="E19" i="6" s="1"/>
  <c r="D18" i="6"/>
  <c r="B18" i="6"/>
  <c r="C18" i="6" s="1"/>
  <c r="E18" i="6" s="1"/>
  <c r="B13" i="6"/>
  <c r="B12" i="6"/>
  <c r="B11" i="6"/>
  <c r="D7" i="6"/>
  <c r="D13" i="6" s="1"/>
  <c r="E13" i="6" s="1"/>
  <c r="D6" i="6"/>
  <c r="D12" i="6" s="1"/>
  <c r="E12" i="6" s="1"/>
  <c r="D5" i="6"/>
  <c r="D11" i="6" s="1"/>
  <c r="E11" i="6" s="1"/>
  <c r="B16" i="5"/>
  <c r="B15" i="5"/>
  <c r="B14" i="5"/>
  <c r="B13" i="5"/>
  <c r="B17" i="5" s="1"/>
  <c r="B18" i="5" s="1"/>
  <c r="F8" i="5"/>
  <c r="D8" i="5"/>
  <c r="C8" i="5"/>
  <c r="B8" i="5"/>
  <c r="E7" i="5"/>
  <c r="G7" i="5" s="1"/>
  <c r="E6" i="5"/>
  <c r="G6" i="5" s="1"/>
  <c r="E5" i="5"/>
  <c r="G5" i="5" s="1"/>
  <c r="C17" i="4"/>
  <c r="L13" i="4"/>
  <c r="J13" i="4"/>
  <c r="L12" i="4"/>
  <c r="J12" i="4"/>
  <c r="L11" i="4"/>
  <c r="J11" i="4"/>
  <c r="L10" i="4"/>
  <c r="J10" i="4"/>
  <c r="C8" i="4"/>
  <c r="C6" i="4"/>
  <c r="G14" i="3"/>
  <c r="F14" i="3"/>
  <c r="E14" i="3"/>
  <c r="D14" i="3"/>
  <c r="C14" i="3"/>
  <c r="F14" i="2"/>
  <c r="E14" i="2"/>
  <c r="D14" i="2"/>
  <c r="G13" i="2"/>
  <c r="C13" i="4" s="1"/>
  <c r="G12" i="2"/>
  <c r="C12" i="4" s="1"/>
  <c r="G11" i="2"/>
  <c r="C11" i="4" s="1"/>
  <c r="G10" i="2"/>
  <c r="C10" i="4" s="1"/>
  <c r="G9" i="2"/>
  <c r="C9" i="4" s="1"/>
  <c r="G8" i="2"/>
  <c r="G7" i="2"/>
  <c r="C7" i="4" s="1"/>
  <c r="G6" i="2"/>
  <c r="G5" i="2"/>
  <c r="C5" i="4" s="1"/>
  <c r="F10" i="9"/>
  <c r="C20" i="8"/>
  <c r="C8" i="8"/>
  <c r="F19" i="6"/>
  <c r="E5" i="6"/>
  <c r="F9" i="9"/>
  <c r="C19" i="8"/>
  <c r="H10" i="7"/>
  <c r="F12" i="6"/>
  <c r="C18" i="5"/>
  <c r="G17" i="4"/>
  <c r="D18" i="2"/>
  <c r="F18" i="6"/>
  <c r="F8" i="9"/>
  <c r="C18" i="8"/>
  <c r="H6" i="7"/>
  <c r="C17" i="5"/>
  <c r="H10" i="2"/>
  <c r="F7" i="9"/>
  <c r="C16" i="8"/>
  <c r="F6" i="9"/>
  <c r="H8" i="7"/>
  <c r="C15" i="5"/>
  <c r="H8" i="2"/>
  <c r="H5" i="7"/>
  <c r="C15" i="3"/>
  <c r="H7" i="2"/>
  <c r="H6" i="2"/>
  <c r="D17" i="2"/>
  <c r="F5" i="9"/>
  <c r="C12" i="8"/>
  <c r="F15" i="6"/>
  <c r="E7" i="6"/>
  <c r="C14" i="5"/>
  <c r="H6" i="5"/>
  <c r="H13" i="2"/>
  <c r="F11" i="6"/>
  <c r="H9" i="2"/>
  <c r="H7" i="5"/>
  <c r="C21" i="8"/>
  <c r="C10" i="8"/>
  <c r="F13" i="6"/>
  <c r="E6" i="6"/>
  <c r="C13" i="5"/>
  <c r="H14" i="2"/>
  <c r="H7" i="7"/>
  <c r="H5" i="5"/>
  <c r="H12" i="2"/>
  <c r="H5" i="2"/>
  <c r="D19" i="2"/>
  <c r="H11" i="2"/>
  <c r="C16" i="5"/>
  <c r="G9" i="7" l="1"/>
  <c r="G10" i="7" s="1"/>
  <c r="B12" i="8"/>
  <c r="C16" i="4"/>
  <c r="C18" i="4" s="1"/>
  <c r="E15" i="6"/>
  <c r="G14" i="2"/>
  <c r="E8" i="5"/>
  <c r="E9" i="5" l="1"/>
  <c r="G8" i="5"/>
  <c r="C17" i="2"/>
  <c r="C19" i="2"/>
  <c r="C18" i="2"/>
  <c r="B18" i="8"/>
  <c r="B21" i="8" s="1"/>
  <c r="B16" i="8"/>
  <c r="B19" i="8" l="1"/>
  <c r="B20" i="8"/>
</calcChain>
</file>

<file path=xl/sharedStrings.xml><?xml version="1.0" encoding="utf-8"?>
<sst xmlns="http://schemas.openxmlformats.org/spreadsheetml/2006/main" count="295" uniqueCount="210">
  <si>
    <t>Policentro ficticio de la CSS en Chiriquí: hoja de datos del hito 2</t>
  </si>
  <si>
    <t>CONSTRUCCIÓN DOCENTE FICTICIA. No son datos de ningún policentro real de la CSS ni del MINSA.</t>
  </si>
  <si>
    <t>Economía y Finanzas de los Servicios de Salud, UDELAS. Trabajo final guiado, hito 2: oferta, integración y costo.</t>
  </si>
  <si>
    <t>Qué es</t>
  </si>
  <si>
    <t>El mismo policentro del escenario de la sesión 04: usted es su director médico y le piden el anteproyecto de presupuesto. Aquí están los datos de un mes para costear sus servicios.</t>
  </si>
  <si>
    <t>Por qué es ficticio</t>
  </si>
  <si>
    <t>Para que el método se aprenda sin exponer datos de una institución real. Las cifras son coherentes con el deck S04: la consulta de medicina general cuesta B/. 18 con 80 % fijo; el laboratorio gasta B/. 7,150, 4,675 y 6,490; la enfermera cuesta B/. 2,400 por 7,200 minutos.</t>
  </si>
  <si>
    <t>Colores</t>
  </si>
  <si>
    <t>Azul: dato. Negro: fórmula. Verde: vínculo a otra hoja. Amarillo: celda que llena su equipo. La columna gris de la derecha muestra la fórmula de la celda vecina.</t>
  </si>
  <si>
    <t>Centros</t>
  </si>
  <si>
    <t>Los nueve centros de producción, con mano de obra, insumos y gastos generales del mes. Calcula el costo directo.</t>
  </si>
  <si>
    <t>Bases</t>
  </si>
  <si>
    <t>Con qué base reparte cada centro administrativo y de apoyo, y cuánto le toca a cada uno.</t>
  </si>
  <si>
    <t>Reparto</t>
  </si>
  <si>
    <t>Aquí trabaja su equipo: la asignación escalonada (step down) hasta el costo total y el costo por actividad de los cuatro centros finales.</t>
  </si>
  <si>
    <t>Laboratorio</t>
  </si>
  <si>
    <t>El ejemplo del deck S04 y la oferta del laboratorio privado.</t>
  </si>
  <si>
    <t>TDABC</t>
  </si>
  <si>
    <t>El costeo por actividades y tiempo de la consulta de crecimiento y desarrollo.</t>
  </si>
  <si>
    <t>Aseguramiento</t>
  </si>
  <si>
    <t>Cuántas atenciones fueron a asegurados y a no asegurados. Sirve para la pregunta de quién paga.</t>
  </si>
  <si>
    <t>Escenarios</t>
  </si>
  <si>
    <t>Plantilla del costo unitario aplicado a un territorio: escenario actual frente a escenario en red. Cambie los datos azules por los de su territorio del hito 1.</t>
  </si>
  <si>
    <t>Presupuesto</t>
  </si>
  <si>
    <t>Presupuesto por programas: meta por costo unitario.</t>
  </si>
  <si>
    <t>Uso de IA</t>
  </si>
  <si>
    <t>En el costeo la IA es de uso obligatorio. Pídale la estructura del modelo y las fórmulas; después verifique cada supuesto contra esta hoja y anote en el tablero qué propuso, cómo lo verificó y qué corrigió.</t>
  </si>
  <si>
    <t>Ojo</t>
  </si>
  <si>
    <t>Nunca use la población asegurada como denominador. El policentro de la CSS también atiende a no asegurados.</t>
  </si>
  <si>
    <t>Centros de producción y costo directo del mes</t>
  </si>
  <si>
    <t>Mes de referencia ficticio. Balboas (B/.). Mano de obra: salarios y cuotas patronales. Insumos: medicamentos, material y reactivos. Gastos generales: servicios básicos, mantenimiento, depreciación de equipo.</t>
  </si>
  <si>
    <t>Código</t>
  </si>
  <si>
    <t>Centro de producción</t>
  </si>
  <si>
    <t>Tipo</t>
  </si>
  <si>
    <t>Mano de obra B/.</t>
  </si>
  <si>
    <t>Insumos B/.</t>
  </si>
  <si>
    <t>Gastos generales B/.</t>
  </si>
  <si>
    <t>Costo directo B/.</t>
  </si>
  <si>
    <t>Fórmula del costo directo</t>
  </si>
  <si>
    <t>Producción del mes</t>
  </si>
  <si>
    <t>Unidad de producción</t>
  </si>
  <si>
    <t>G1</t>
  </si>
  <si>
    <t>Dirección y administración</t>
  </si>
  <si>
    <t>Administrativo (general)</t>
  </si>
  <si>
    <t>G2</t>
  </si>
  <si>
    <t>Servicios generales: aseo, mantenimiento y seguridad</t>
  </si>
  <si>
    <t>A1</t>
  </si>
  <si>
    <t>Registros médicos y estadística</t>
  </si>
  <si>
    <t>De apoyo (logístico)</t>
  </si>
  <si>
    <t>A2</t>
  </si>
  <si>
    <t>Farmacia</t>
  </si>
  <si>
    <t>De apoyo (asistencial)</t>
  </si>
  <si>
    <t>recetas despachadas</t>
  </si>
  <si>
    <t>A3</t>
  </si>
  <si>
    <t>Laboratorio clínico</t>
  </si>
  <si>
    <t>pruebas</t>
  </si>
  <si>
    <t>F1</t>
  </si>
  <si>
    <t>Consulta de medicina general</t>
  </si>
  <si>
    <t>Final</t>
  </si>
  <si>
    <t>consultas</t>
  </si>
  <si>
    <t>F2</t>
  </si>
  <si>
    <t>Control prenatal</t>
  </si>
  <si>
    <t>F3</t>
  </si>
  <si>
    <t>Crecimiento y desarrollo</t>
  </si>
  <si>
    <t>F4</t>
  </si>
  <si>
    <t>Urgencias</t>
  </si>
  <si>
    <t>atenciones</t>
  </si>
  <si>
    <t>Total del policentro</t>
  </si>
  <si>
    <t>Distribución por tipo de costo</t>
  </si>
  <si>
    <t>Mano de obra</t>
  </si>
  <si>
    <t>Insumos</t>
  </si>
  <si>
    <t>Gastos generales</t>
  </si>
  <si>
    <t>Supuesto del curso para separar fijo y variable: en el corto plazo, los insumos directos de cada centro son el costo variable; la mano de obra, los gastos generales y lo que el centro recibe por reparto son fijos.</t>
  </si>
  <si>
    <t>Bases de reparto</t>
  </si>
  <si>
    <t>Cada columna es un centro que reparte, en el orden del reparto escalonado. La celda dice cuánto de esa base tiene el centro de la fila. En blanco: ese centro no recibe de esa columna.</t>
  </si>
  <si>
    <t>Centro</t>
  </si>
  <si>
    <t>G1 reparte por: Funcionarios</t>
  </si>
  <si>
    <t>G2 reparte por: Metros cuadrados</t>
  </si>
  <si>
    <t>A1 reparte por: Atenciones registradas</t>
  </si>
  <si>
    <t>A2 reparte por: Recetas despachadas</t>
  </si>
  <si>
    <t>A3 reparte por: Pruebas de laboratorio solicitadas</t>
  </si>
  <si>
    <t>Total de la base</t>
  </si>
  <si>
    <t>Fórmula del total</t>
  </si>
  <si>
    <t>Orden del reparto: primero Dirección (G1), luego Servicios generales (G2), Registros médicos (A1), Farmacia (A2) y Laboratorio (A3). Un centro que ya repartió no recibe de los que vienen después. La base de A1 es la producción de cada final.</t>
  </si>
  <si>
    <t>Asignación escalonada y costo por actividad</t>
  </si>
  <si>
    <t>Costo que recibe cada centro = monto que reparte el centro de la columna × base del centro de la fila ÷ total de la base de esa columna.</t>
  </si>
  <si>
    <t>Recibe de G1</t>
  </si>
  <si>
    <t>Recibe de G2</t>
  </si>
  <si>
    <t>Recibe de A1</t>
  </si>
  <si>
    <t>Recibe de A2</t>
  </si>
  <si>
    <t>Recibe de A3</t>
  </si>
  <si>
    <t>Costo total B/.</t>
  </si>
  <si>
    <t>Producción</t>
  </si>
  <si>
    <t>Costo por actividad B/.</t>
  </si>
  <si>
    <t>Insumos (variable) B/.</t>
  </si>
  <si>
    <t>Porcentaje fijo</t>
  </si>
  <si>
    <t>Fórmula del costo por actividad</t>
  </si>
  <si>
    <t>se reparte</t>
  </si>
  <si>
    <t>Escriba aquí su fórmula como texto</t>
  </si>
  <si>
    <t>Monto que reparte el centro de la columna</t>
  </si>
  <si>
    <t>Control 1. Costo directo de todo el policentro</t>
  </si>
  <si>
    <t>Control 2. Suma de los costos totales de los cuatro finales</t>
  </si>
  <si>
    <t>¿Cuadra el reparto?</t>
  </si>
  <si>
    <t>Cómo llenarlo. 1) En la fila del monto que reparte, sume el costo directo del centro de la columna más lo que ya recibió. 2) En cada celda amarilla de la columna: monto que reparte × base del centro ÷ total de la base (hoja Bases). 3) Costo total = costo directo + todo lo recibido. 4) Costo por actividad = costo total ÷ producción. 5) Porcentaje fijo = 1 − insumos ÷ costo total. Ejemplo de la primera celda: Registros médicos recibe de G1 = monto de G1 × 4 ÷ 43.</t>
  </si>
  <si>
    <t>El laboratorio del policentro: el ejemplo del deck S04</t>
  </si>
  <si>
    <t>Costo promedio = gasto del mes ÷ pruebas del mes. Química: el laboratorio privado ofrece la prueba a B/. 1.90.</t>
  </si>
  <si>
    <t>Prueba</t>
  </si>
  <si>
    <t>Gasto del mes B/.</t>
  </si>
  <si>
    <t>Pruebas</t>
  </si>
  <si>
    <t>Costo promedio B/.</t>
  </si>
  <si>
    <t>Fórmula</t>
  </si>
  <si>
    <t>Urinálisis</t>
  </si>
  <si>
    <t>Química</t>
  </si>
  <si>
    <t>Serología</t>
  </si>
  <si>
    <t>Total</t>
  </si>
  <si>
    <t>¿Cuadra con el costo directo del laboratorio en Centros?</t>
  </si>
  <si>
    <t>La oferta del laboratorio privado para la química</t>
  </si>
  <si>
    <t>Precio por prueba del privado B/.</t>
  </si>
  <si>
    <t>Pruebas de química del mes</t>
  </si>
  <si>
    <t>Lo que desaparece si se compra afuera: insumos B/.</t>
  </si>
  <si>
    <t>Lo que se queda: mano de obra y gastos generales B/.</t>
  </si>
  <si>
    <t>Producir adentro B/.</t>
  </si>
  <si>
    <t>Comprar afuera más lo fijo que se queda B/.</t>
  </si>
  <si>
    <t>Diferencia al mes B/.</t>
  </si>
  <si>
    <t>Pregunta del deck S04: ¿cierra la química y la compra afuera? Solo conviene si el personal y el espacio se reasignan.</t>
  </si>
  <si>
    <t>Costeo por actividades y tiempo: consulta de crecimiento y desarrollo</t>
  </si>
  <si>
    <t>Dos números por recurso: cuánto cuesta su minuto y cuántos minutos toma cada actividad. Costo del minuto = costo de capacidad ÷ minutos disponibles.</t>
  </si>
  <si>
    <t>Recurso</t>
  </si>
  <si>
    <t>Costo de capacidad del mes B/.</t>
  </si>
  <si>
    <t>Minutos disponibles al mes</t>
  </si>
  <si>
    <t>Costo del minuto B/.</t>
  </si>
  <si>
    <t>Admisión y registros médicos</t>
  </si>
  <si>
    <t>Enfermería</t>
  </si>
  <si>
    <t>Médico general</t>
  </si>
  <si>
    <t>Minutos disponibles: 150 horas de trabajo al mes menos pausas, reuniones y capacitación, por persona. Enfermería: B/. 2,400 por 7,200 minutos, como en el deck S04.</t>
  </si>
  <si>
    <t>Actividad del proceso, de la llegada a la salida</t>
  </si>
  <si>
    <t>Minutos por consulta</t>
  </si>
  <si>
    <t>Costo de la actividad B/.</t>
  </si>
  <si>
    <t>Admisión y apertura del expediente</t>
  </si>
  <si>
    <t>Preconsulta: peso, talla, perímetro y vacunas</t>
  </si>
  <si>
    <t>Valoración médica</t>
  </si>
  <si>
    <t>Insumos por consulta (material y biológicos no cubiertos por el programa)</t>
  </si>
  <si>
    <t>Costo del ciclo completo por TDABC</t>
  </si>
  <si>
    <t>Capacidad usada</t>
  </si>
  <si>
    <t>Consultas del mes</t>
  </si>
  <si>
    <t>Minutos usados</t>
  </si>
  <si>
    <t>Minutos disponibles</t>
  </si>
  <si>
    <t>Enfermería (2 personas)</t>
  </si>
  <si>
    <t>Médico general (media jornada)</t>
  </si>
  <si>
    <t>Su equipo compara este costo con el costo por actividad de crecimiento y desarrollo que sale del reparto escalonado. No dan lo mismo: expliquen por qué.</t>
  </si>
  <si>
    <t>Quién recibió la atención: asegurados y no asegurados</t>
  </si>
  <si>
    <t>El policentro es de la CSS, pero en provincia atiende también a no asegurados. Esta hoja calcula cuánto cuesta esa atención; quién la paga hoy, lo investiga su equipo con fuente.</t>
  </si>
  <si>
    <t>Centro final</t>
  </si>
  <si>
    <t>Atenciones a asegurados</t>
  </si>
  <si>
    <t>Atenciones a no asegurados</t>
  </si>
  <si>
    <t>Porcentaje no asegurado</t>
  </si>
  <si>
    <t>Costo de la atención a no asegurados B/.</t>
  </si>
  <si>
    <t>Total del mes</t>
  </si>
  <si>
    <t>Al año (× 12)</t>
  </si>
  <si>
    <t>¿Cuánto recupera hoy la CSS por esa atención, y de quién? Fuente:</t>
  </si>
  <si>
    <t>Monto recuperado al mes B/. (si lo encuentran)</t>
  </si>
  <si>
    <t>Investíguenlo con fuente: convenio o compensación de costos entre el MINSA y la CSS, cobro al paciente, o nadie. No afirmen una cifra sin su fuente.</t>
  </si>
  <si>
    <t>La columna de costo por actividad se llena sola cuando su equipo termine la hoja Reparto.</t>
  </si>
  <si>
    <t>El costo unitario aplicado al territorio: escenario actual frente a escenario en red</t>
  </si>
  <si>
    <t>Ejemplo con hipertensión arterial. Cambie los datos azules por los de su territorio del hito 1 y cite cada fuente en el tablero. El denominador es la población del territorio.</t>
  </si>
  <si>
    <t>Dato o cálculo</t>
  </si>
  <si>
    <t>Valor</t>
  </si>
  <si>
    <t>Fórmula o fuente</t>
  </si>
  <si>
    <t>Población del territorio (denominador)</t>
  </si>
  <si>
    <t>Del hito 1. Ejemplo ficticio.</t>
  </si>
  <si>
    <t>Proporción de adultos de 20 años y más</t>
  </si>
  <si>
    <t>Del hito 1, pirámide. Ejemplo ficticio.</t>
  </si>
  <si>
    <t>Prevalencia de hipertensión en adultos</t>
  </si>
  <si>
    <t>Encuesta con año. Ejemplo ficticio.</t>
  </si>
  <si>
    <t>Personas con hipertensión en el territorio</t>
  </si>
  <si>
    <t>Proporción en control en la red pública</t>
  </si>
  <si>
    <t>Ejemplo ficticio.</t>
  </si>
  <si>
    <t>Pacientes en control</t>
  </si>
  <si>
    <t>Consultas por paciente al año</t>
  </si>
  <si>
    <t>Norma o guía de manejo.</t>
  </si>
  <si>
    <t>Consultas al año</t>
  </si>
  <si>
    <t>Costo por consulta en medicina general B/.</t>
  </si>
  <si>
    <t>Del reparto; si aún está vacío, el B/. 18 del deck S04.</t>
  </si>
  <si>
    <t>Costo por atención en urgencias B/.</t>
  </si>
  <si>
    <t>Del reparto; si aún está vacío, B/. 40 provisional.</t>
  </si>
  <si>
    <t>ESCENARIO ACTUAL: proporción de atenciones que ocurren en urgencias</t>
  </si>
  <si>
    <t>Supuesto que su equipo debe sostener.</t>
  </si>
  <si>
    <t>Costo anual actual B/.</t>
  </si>
  <si>
    <t>ESCENARIO EN RED: proporción en urgencias con primer nivel resolutivo</t>
  </si>
  <si>
    <t>Meta de la propuesta.</t>
  </si>
  <si>
    <t>Costo anual en red B/.</t>
  </si>
  <si>
    <t>Diferencia anual B/.</t>
  </si>
  <si>
    <t>Costo por paciente en control al año, actual B/.</t>
  </si>
  <si>
    <t>Costo por paciente en control al año, en red B/.</t>
  </si>
  <si>
    <t>Supuesto que la IA suele proponer mal: usar la población asegurada como denominador. Aquí el denominador es la población del territorio.</t>
  </si>
  <si>
    <t>Presupuesto por programas: meta por costo unitario</t>
  </si>
  <si>
    <t>Los tres programas del deck S04 como ejemplo. Su equipo agrega los programas de su propuesta con su meta y su costo unitario.</t>
  </si>
  <si>
    <t>Programa</t>
  </si>
  <si>
    <t>Meta anual</t>
  </si>
  <si>
    <t>Unidad</t>
  </si>
  <si>
    <t>Costo unitario B/.</t>
  </si>
  <si>
    <t>Presupuesto B/.</t>
  </si>
  <si>
    <t>De dónde sale el costo unitario</t>
  </si>
  <si>
    <t>Reparto, control prenatal</t>
  </si>
  <si>
    <t>Reparto, crecimiento y desarrollo</t>
  </si>
  <si>
    <t>Adulto con hipertensión</t>
  </si>
  <si>
    <t>Reparto, medicina general</t>
  </si>
  <si>
    <t>Programa de su propuesta</t>
  </si>
  <si>
    <t>Total del anteproyecto</t>
  </si>
  <si>
    <t>Compare con la propuesta del administrador del escenario: lo ejecutado el año anterior más 5 %. ¿Qué le falta a esa propuesta que esta tabla sí tiene?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</si>
</sst>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
  </numFmts>
  <fonts count="11" x14ac:knownFonts="1">
    <font>
      <sz val="11"/>
      <color theme="1"/>
      <name val="Calibri"/>
      <family val="2"/>
      <scheme val="minor"/>
    </font>
    <font>
      <b/>
      <sz val="14"/>
      <color rgb="FFA2532A"/>
      <name val="Arial"/>
    </font>
    <font>
      <b/>
      <sz val="10"/>
      <color rgb="FF9B2F2F"/>
      <name val="Arial"/>
    </font>
    <font>
      <i/>
      <sz val="10"/>
      <color rgb="FF5C6670"/>
      <name val="Arial"/>
    </font>
    <font>
      <b/>
      <sz val="10"/>
      <color rgb="FF1D2329"/>
      <name val="Arial"/>
    </font>
    <font>
      <sz val="10"/>
      <color rgb="FF1D2329"/>
      <name val="Arial"/>
    </font>
    <font>
      <b/>
      <sz val="10"/>
      <color rgb="FFFFFFFF"/>
      <name val="Arial"/>
    </font>
    <font>
      <sz val="10"/>
      <color rgb="FF0000FF"/>
      <name val="Arial"/>
    </font>
    <font>
      <sz val="10"/>
      <color rgb="FF000000"/>
      <name val="Arial"/>
    </font>
    <font>
      <sz val="9"/>
      <color rgb="FF3D6F86"/>
      <name val="Consolas"/>
    </font>
    <font>
      <sz val="10"/>
      <color rgb="FF008000"/>
      <name val="Arial"/>
    </font>
  </fonts>
  <fills count="5">
    <fill>
      <patternFill patternType="none"/>
    </fill>
    <fill>
      <patternFill patternType="gray125"/>
    </fill>
    <fill>
      <patternFill patternType="solid">
        <fgColor rgb="FFF5E3D8"/>
      </patternFill>
    </fill>
    <fill>
      <patternFill patternType="solid">
        <fgColor rgb="FFA2532A"/>
      </patternFill>
    </fill>
    <fill>
      <patternFill patternType="solid">
        <fgColor rgb="FFFFFF00"/>
      </patternFill>
    </fill>
  </fills>
  <borders count="4">
    <border>
      <left/>
      <right/>
      <top/>
      <bottom/>
      <diagonal/>
    </border>
    <border>
      <left style="thin">
        <color rgb="FFD5DBE2"/>
      </left>
      <right style="thin">
        <color rgb="FFD5DBE2"/>
      </right>
      <top style="thin">
        <color rgb="FFD5DBE2"/>
      </top>
      <bottom style="thin">
        <color rgb="FFD5DBE2"/>
      </bottom>
      <diagonal/>
    </border>
    <border>
      <left/>
      <right/>
      <top style="thin">
        <color rgb="FFD5DBE2"/>
      </top>
      <bottom style="thin">
        <color rgb="FFD5DBE2"/>
      </bottom>
      <diagonal/>
    </border>
    <border>
      <left/>
      <right style="thin">
        <color rgb="FFD5DBE2"/>
      </right>
      <top style="thin">
        <color rgb="FFD5DBE2"/>
      </top>
      <bottom style="thin">
        <color rgb="FFD5DBE2"/>
      </bottom>
      <diagonal/>
    </border>
  </borders>
  <cellStyleXfs count="1">
    <xf numFmtId="0" fontId="0" fillId="0" borderId="0"/>
  </cellStyleXfs>
  <cellXfs count="4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applyAlignment="1">
      <alignment vertical="top" wrapText="1"/>
    </xf>
    <xf numFmtId="0" fontId="6" fillId="3" borderId="1" xfId="0" applyFont="1" applyFill="1" applyBorder="1" applyAlignment="1">
      <alignment vertical="center" wrapText="1"/>
    </xf>
    <xf numFmtId="0" fontId="4" fillId="0" borderId="1" xfId="0" applyFont="1" applyBorder="1"/>
    <xf numFmtId="0" fontId="5" fillId="0" borderId="1" xfId="0" applyFont="1" applyBorder="1"/>
    <xf numFmtId="4" fontId="7" fillId="0" borderId="1" xfId="0" applyNumberFormat="1" applyFont="1" applyBorder="1"/>
    <xf numFmtId="4" fontId="8" fillId="0" borderId="1" xfId="0" applyNumberFormat="1" applyFont="1" applyBorder="1"/>
    <xf numFmtId="0" fontId="9" fillId="0" borderId="1" xfId="0" applyFont="1" applyBorder="1"/>
    <xf numFmtId="3" fontId="7" fillId="0" borderId="1" xfId="0" applyNumberFormat="1" applyFont="1" applyBorder="1"/>
    <xf numFmtId="4" fontId="4" fillId="2" borderId="1" xfId="0" applyNumberFormat="1" applyFont="1" applyFill="1" applyBorder="1"/>
    <xf numFmtId="164" fontId="8" fillId="0" borderId="1" xfId="0" applyNumberFormat="1" applyFont="1" applyBorder="1"/>
    <xf numFmtId="3" fontId="4" fillId="2" borderId="1" xfId="0" applyNumberFormat="1" applyFont="1" applyFill="1" applyBorder="1"/>
    <xf numFmtId="4" fontId="10" fillId="0" borderId="1" xfId="0" applyNumberFormat="1" applyFont="1" applyBorder="1"/>
    <xf numFmtId="0" fontId="3" fillId="0" borderId="1" xfId="0" applyFont="1" applyBorder="1"/>
    <xf numFmtId="4" fontId="8" fillId="4" borderId="1" xfId="0" applyNumberFormat="1" applyFont="1" applyFill="1" applyBorder="1"/>
    <xf numFmtId="3" fontId="10" fillId="0" borderId="1" xfId="0" applyNumberFormat="1" applyFont="1" applyBorder="1"/>
    <xf numFmtId="164" fontId="8" fillId="4" borderId="1" xfId="0" applyNumberFormat="1" applyFont="1" applyFill="1" applyBorder="1"/>
    <xf numFmtId="4" fontId="4" fillId="4" borderId="1" xfId="0" applyNumberFormat="1" applyFont="1" applyFill="1" applyBorder="1"/>
    <xf numFmtId="0" fontId="8" fillId="0" borderId="1" xfId="0" applyFont="1" applyBorder="1"/>
    <xf numFmtId="4" fontId="4" fillId="0" borderId="1" xfId="0" applyNumberFormat="1" applyFont="1" applyBorder="1"/>
    <xf numFmtId="3" fontId="8" fillId="0" borderId="1" xfId="0" applyNumberFormat="1" applyFont="1" applyBorder="1"/>
    <xf numFmtId="165" fontId="8" fillId="0" borderId="1" xfId="0" applyNumberFormat="1" applyFont="1" applyBorder="1"/>
    <xf numFmtId="0" fontId="10" fillId="0" borderId="1" xfId="0" applyFont="1" applyBorder="1"/>
    <xf numFmtId="165" fontId="10" fillId="0" borderId="1" xfId="0" applyNumberFormat="1" applyFont="1" applyBorder="1"/>
    <xf numFmtId="164" fontId="4" fillId="0" borderId="1" xfId="0" applyNumberFormat="1" applyFont="1" applyBorder="1"/>
    <xf numFmtId="0" fontId="5" fillId="0" borderId="0" xfId="0" applyFont="1"/>
    <xf numFmtId="4" fontId="7" fillId="4" borderId="1" xfId="0" applyNumberFormat="1" applyFont="1" applyFill="1" applyBorder="1"/>
    <xf numFmtId="3" fontId="7" fillId="4" borderId="1" xfId="0" applyNumberFormat="1" applyFont="1" applyFill="1" applyBorder="1"/>
    <xf numFmtId="164" fontId="7" fillId="4" borderId="1" xfId="0" applyNumberFormat="1" applyFont="1" applyFill="1" applyBorder="1"/>
    <xf numFmtId="0" fontId="5" fillId="4" borderId="1" xfId="0" applyFont="1" applyFill="1" applyBorder="1"/>
    <xf numFmtId="0" fontId="3" fillId="0" borderId="0" xfId="0" applyFont="1" applyAlignment="1">
      <alignment wrapText="1"/>
    </xf>
    <xf numFmtId="0" fontId="0" fillId="0" borderId="0" xfId="0"/>
    <xf numFmtId="0" fontId="5" fillId="0" borderId="0" xfId="0" applyFont="1" applyAlignment="1">
      <alignment vertical="top" wrapText="1"/>
    </xf>
    <xf numFmtId="0" fontId="8" fillId="0" borderId="1" xfId="0" applyFont="1" applyBorder="1"/>
    <xf numFmtId="0" fontId="0" fillId="0" borderId="2" xfId="0"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D6F86"/>
  </sheetPr>
  <dimension ref="A1:B17"/>
  <sheetViews>
    <sheetView showGridLines="0" tabSelected="1" workbookViewId="0"/>
  </sheetViews>
  <sheetFormatPr baseColWidth="10" defaultColWidth="8.88671875" defaultRowHeight="14.4" x14ac:dyDescent="0.3"/>
  <cols>
    <col min="1" max="1" width="20" customWidth="1"/>
    <col min="2" max="2" width="110" customWidth="1"/>
  </cols>
  <sheetData>
    <row r="1" spans="1:2" ht="17.399999999999999" x14ac:dyDescent="0.3">
      <c r="A1" s="1" t="s">
        <v>0</v>
      </c>
    </row>
    <row r="2" spans="1:2" x14ac:dyDescent="0.3">
      <c r="A2" s="2" t="s">
        <v>1</v>
      </c>
    </row>
    <row r="3" spans="1:2" x14ac:dyDescent="0.3">
      <c r="A3" s="3" t="s">
        <v>2</v>
      </c>
    </row>
    <row r="5" spans="1:2" ht="43.95" customHeight="1" x14ac:dyDescent="0.3">
      <c r="A5" s="4" t="s">
        <v>3</v>
      </c>
      <c r="B5" s="5" t="s">
        <v>4</v>
      </c>
    </row>
    <row r="6" spans="1:2" ht="43.95" customHeight="1" x14ac:dyDescent="0.3">
      <c r="A6" s="4" t="s">
        <v>5</v>
      </c>
      <c r="B6" s="5" t="s">
        <v>6</v>
      </c>
    </row>
    <row r="7" spans="1:2" ht="43.95" customHeight="1" x14ac:dyDescent="0.3">
      <c r="A7" s="4" t="s">
        <v>7</v>
      </c>
      <c r="B7" s="5" t="s">
        <v>8</v>
      </c>
    </row>
    <row r="8" spans="1:2" ht="43.95" customHeight="1" x14ac:dyDescent="0.3">
      <c r="A8" s="4" t="s">
        <v>9</v>
      </c>
      <c r="B8" s="5" t="s">
        <v>10</v>
      </c>
    </row>
    <row r="9" spans="1:2" ht="43.95" customHeight="1" x14ac:dyDescent="0.3">
      <c r="A9" s="4" t="s">
        <v>11</v>
      </c>
      <c r="B9" s="5" t="s">
        <v>12</v>
      </c>
    </row>
    <row r="10" spans="1:2" ht="43.95" customHeight="1" x14ac:dyDescent="0.3">
      <c r="A10" s="4" t="s">
        <v>13</v>
      </c>
      <c r="B10" s="5" t="s">
        <v>14</v>
      </c>
    </row>
    <row r="11" spans="1:2" ht="43.95" customHeight="1" x14ac:dyDescent="0.3">
      <c r="A11" s="4" t="s">
        <v>15</v>
      </c>
      <c r="B11" s="5" t="s">
        <v>16</v>
      </c>
    </row>
    <row r="12" spans="1:2" ht="43.95" customHeight="1" x14ac:dyDescent="0.3">
      <c r="A12" s="4" t="s">
        <v>17</v>
      </c>
      <c r="B12" s="5" t="s">
        <v>18</v>
      </c>
    </row>
    <row r="13" spans="1:2" ht="43.95" customHeight="1" x14ac:dyDescent="0.3">
      <c r="A13" s="4" t="s">
        <v>19</v>
      </c>
      <c r="B13" s="5" t="s">
        <v>20</v>
      </c>
    </row>
    <row r="14" spans="1:2" ht="43.95" customHeight="1" x14ac:dyDescent="0.3">
      <c r="A14" s="4" t="s">
        <v>21</v>
      </c>
      <c r="B14" s="5" t="s">
        <v>22</v>
      </c>
    </row>
    <row r="15" spans="1:2" ht="43.95" customHeight="1" x14ac:dyDescent="0.3">
      <c r="A15" s="4" t="s">
        <v>23</v>
      </c>
      <c r="B15" s="5" t="s">
        <v>24</v>
      </c>
    </row>
    <row r="16" spans="1:2" ht="43.95" customHeight="1" x14ac:dyDescent="0.3">
      <c r="A16" s="4" t="s">
        <v>25</v>
      </c>
      <c r="B16" s="5" t="s">
        <v>26</v>
      </c>
    </row>
    <row r="17" spans="1:2" ht="43.95" customHeight="1" x14ac:dyDescent="0.3">
      <c r="A17" s="4" t="s">
        <v>27</v>
      </c>
      <c r="B17" s="5"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D6F86"/>
  </sheetPr>
  <dimension ref="A1:J21"/>
  <sheetViews>
    <sheetView showGridLines="0" workbookViewId="0">
      <pane xSplit="2" ySplit="4" topLeftCell="C5" activePane="bottomRight" state="frozen"/>
      <selection pane="topRight"/>
      <selection pane="bottomLeft"/>
      <selection pane="bottomRight"/>
    </sheetView>
  </sheetViews>
  <sheetFormatPr baseColWidth="10" defaultColWidth="8.88671875" defaultRowHeight="14.4" x14ac:dyDescent="0.3"/>
  <cols>
    <col min="1" max="1" width="8" customWidth="1"/>
    <col min="2" max="2" width="44" customWidth="1"/>
    <col min="3" max="3" width="24" customWidth="1"/>
    <col min="4" max="4" width="14" customWidth="1"/>
    <col min="5" max="5" width="13" customWidth="1"/>
    <col min="6" max="7" width="15" customWidth="1"/>
    <col min="8" max="8" width="24" customWidth="1"/>
    <col min="9" max="9" width="12" customWidth="1"/>
    <col min="10" max="10" width="20" customWidth="1"/>
  </cols>
  <sheetData>
    <row r="1" spans="1:10" ht="17.399999999999999" x14ac:dyDescent="0.3">
      <c r="A1" s="1" t="s">
        <v>29</v>
      </c>
    </row>
    <row r="2" spans="1:10" x14ac:dyDescent="0.3">
      <c r="A2" s="2" t="s">
        <v>1</v>
      </c>
    </row>
    <row r="3" spans="1:10" x14ac:dyDescent="0.3">
      <c r="A3" s="3" t="s">
        <v>30</v>
      </c>
    </row>
    <row r="4" spans="1:10" ht="42" customHeight="1" x14ac:dyDescent="0.3">
      <c r="A4" s="6" t="s">
        <v>31</v>
      </c>
      <c r="B4" s="6" t="s">
        <v>32</v>
      </c>
      <c r="C4" s="6" t="s">
        <v>33</v>
      </c>
      <c r="D4" s="6" t="s">
        <v>34</v>
      </c>
      <c r="E4" s="6" t="s">
        <v>35</v>
      </c>
      <c r="F4" s="6" t="s">
        <v>36</v>
      </c>
      <c r="G4" s="6" t="s">
        <v>37</v>
      </c>
      <c r="H4" s="6" t="s">
        <v>38</v>
      </c>
      <c r="I4" s="6" t="s">
        <v>39</v>
      </c>
      <c r="J4" s="6" t="s">
        <v>40</v>
      </c>
    </row>
    <row r="5" spans="1:10" x14ac:dyDescent="0.3">
      <c r="A5" s="7" t="s">
        <v>41</v>
      </c>
      <c r="B5" s="8" t="s">
        <v>42</v>
      </c>
      <c r="C5" s="8" t="s">
        <v>43</v>
      </c>
      <c r="D5" s="9">
        <v>7800</v>
      </c>
      <c r="E5" s="9">
        <v>400</v>
      </c>
      <c r="F5" s="9">
        <v>1300</v>
      </c>
      <c r="G5" s="10">
        <f t="shared" ref="G5:G13" si="0">SUM(D5:F5)</f>
        <v>9500</v>
      </c>
      <c r="H5" s="11" t="str">
        <f t="shared" ref="H5:H14" ca="1" si="1">_xlfn.FORMULATEXT(G5)</f>
        <v>=SUMA(D5:F5)</v>
      </c>
      <c r="I5" s="12"/>
      <c r="J5" s="8"/>
    </row>
    <row r="6" spans="1:10" x14ac:dyDescent="0.3">
      <c r="A6" s="7" t="s">
        <v>44</v>
      </c>
      <c r="B6" s="8" t="s">
        <v>45</v>
      </c>
      <c r="C6" s="8" t="s">
        <v>43</v>
      </c>
      <c r="D6" s="9">
        <v>3800</v>
      </c>
      <c r="E6" s="9">
        <v>900</v>
      </c>
      <c r="F6" s="9">
        <v>2800</v>
      </c>
      <c r="G6" s="10">
        <f t="shared" si="0"/>
        <v>7500</v>
      </c>
      <c r="H6" s="11" t="str">
        <f t="shared" ca="1" si="1"/>
        <v>=SUMA(D6:F6)</v>
      </c>
      <c r="I6" s="12"/>
      <c r="J6" s="8"/>
    </row>
    <row r="7" spans="1:10" x14ac:dyDescent="0.3">
      <c r="A7" s="7" t="s">
        <v>46</v>
      </c>
      <c r="B7" s="8" t="s">
        <v>47</v>
      </c>
      <c r="C7" s="8" t="s">
        <v>48</v>
      </c>
      <c r="D7" s="9">
        <v>3000</v>
      </c>
      <c r="E7" s="9">
        <v>200</v>
      </c>
      <c r="F7" s="9">
        <v>300</v>
      </c>
      <c r="G7" s="10">
        <f t="shared" si="0"/>
        <v>3500</v>
      </c>
      <c r="H7" s="11" t="str">
        <f t="shared" ca="1" si="1"/>
        <v>=SUMA(D7:F7)</v>
      </c>
      <c r="I7" s="12"/>
      <c r="J7" s="8"/>
    </row>
    <row r="8" spans="1:10" x14ac:dyDescent="0.3">
      <c r="A8" s="7" t="s">
        <v>49</v>
      </c>
      <c r="B8" s="8" t="s">
        <v>50</v>
      </c>
      <c r="C8" s="8" t="s">
        <v>51</v>
      </c>
      <c r="D8" s="9">
        <v>2400</v>
      </c>
      <c r="E8" s="9">
        <v>300</v>
      </c>
      <c r="F8" s="9">
        <v>300</v>
      </c>
      <c r="G8" s="10">
        <f t="shared" si="0"/>
        <v>3000</v>
      </c>
      <c r="H8" s="11" t="str">
        <f t="shared" ca="1" si="1"/>
        <v>=SUMA(D8:F8)</v>
      </c>
      <c r="I8" s="12">
        <v>5100</v>
      </c>
      <c r="J8" s="8" t="s">
        <v>52</v>
      </c>
    </row>
    <row r="9" spans="1:10" x14ac:dyDescent="0.3">
      <c r="A9" s="7" t="s">
        <v>53</v>
      </c>
      <c r="B9" s="8" t="s">
        <v>54</v>
      </c>
      <c r="C9" s="8" t="s">
        <v>51</v>
      </c>
      <c r="D9" s="9">
        <v>8875</v>
      </c>
      <c r="E9" s="9">
        <v>7040</v>
      </c>
      <c r="F9" s="9">
        <v>2400</v>
      </c>
      <c r="G9" s="10">
        <f t="shared" si="0"/>
        <v>18315</v>
      </c>
      <c r="H9" s="11" t="str">
        <f t="shared" ca="1" si="1"/>
        <v>=SUMA(D9:F9)</v>
      </c>
      <c r="I9" s="12">
        <v>8000</v>
      </c>
      <c r="J9" s="8" t="s">
        <v>55</v>
      </c>
    </row>
    <row r="10" spans="1:10" x14ac:dyDescent="0.3">
      <c r="A10" s="7" t="s">
        <v>56</v>
      </c>
      <c r="B10" s="8" t="s">
        <v>57</v>
      </c>
      <c r="C10" s="8" t="s">
        <v>58</v>
      </c>
      <c r="D10" s="9">
        <v>33120</v>
      </c>
      <c r="E10" s="9">
        <v>14400</v>
      </c>
      <c r="F10" s="9">
        <v>3323</v>
      </c>
      <c r="G10" s="10">
        <f t="shared" si="0"/>
        <v>50843</v>
      </c>
      <c r="H10" s="11" t="str">
        <f t="shared" ca="1" si="1"/>
        <v>=SUMA(D10:F10)</v>
      </c>
      <c r="I10" s="12">
        <v>4000</v>
      </c>
      <c r="J10" s="8" t="s">
        <v>59</v>
      </c>
    </row>
    <row r="11" spans="1:10" x14ac:dyDescent="0.3">
      <c r="A11" s="7" t="s">
        <v>60</v>
      </c>
      <c r="B11" s="8" t="s">
        <v>61</v>
      </c>
      <c r="C11" s="8" t="s">
        <v>58</v>
      </c>
      <c r="D11" s="9">
        <v>5640</v>
      </c>
      <c r="E11" s="9">
        <v>675</v>
      </c>
      <c r="F11" s="9">
        <v>543</v>
      </c>
      <c r="G11" s="10">
        <f t="shared" si="0"/>
        <v>6858</v>
      </c>
      <c r="H11" s="11" t="str">
        <f t="shared" ca="1" si="1"/>
        <v>=SUMA(D11:F11)</v>
      </c>
      <c r="I11" s="12">
        <v>450</v>
      </c>
      <c r="J11" s="8" t="s">
        <v>59</v>
      </c>
    </row>
    <row r="12" spans="1:10" x14ac:dyDescent="0.3">
      <c r="A12" s="7" t="s">
        <v>62</v>
      </c>
      <c r="B12" s="8" t="s">
        <v>63</v>
      </c>
      <c r="C12" s="8" t="s">
        <v>58</v>
      </c>
      <c r="D12" s="9">
        <v>6960</v>
      </c>
      <c r="E12" s="9">
        <v>650</v>
      </c>
      <c r="F12" s="9">
        <v>213</v>
      </c>
      <c r="G12" s="10">
        <f t="shared" si="0"/>
        <v>7823</v>
      </c>
      <c r="H12" s="11" t="str">
        <f t="shared" ca="1" si="1"/>
        <v>=SUMA(D12:F12)</v>
      </c>
      <c r="I12" s="12">
        <v>650</v>
      </c>
      <c r="J12" s="8" t="s">
        <v>59</v>
      </c>
    </row>
    <row r="13" spans="1:10" x14ac:dyDescent="0.3">
      <c r="A13" s="7" t="s">
        <v>64</v>
      </c>
      <c r="B13" s="8" t="s">
        <v>65</v>
      </c>
      <c r="C13" s="8" t="s">
        <v>58</v>
      </c>
      <c r="D13" s="9">
        <v>22000</v>
      </c>
      <c r="E13" s="9">
        <v>8000</v>
      </c>
      <c r="F13" s="9">
        <v>2600</v>
      </c>
      <c r="G13" s="10">
        <f t="shared" si="0"/>
        <v>32600</v>
      </c>
      <c r="H13" s="11" t="str">
        <f t="shared" ca="1" si="1"/>
        <v>=SUMA(D13:F13)</v>
      </c>
      <c r="I13" s="12">
        <v>1200</v>
      </c>
      <c r="J13" s="8" t="s">
        <v>66</v>
      </c>
    </row>
    <row r="14" spans="1:10" x14ac:dyDescent="0.3">
      <c r="B14" s="4" t="s">
        <v>67</v>
      </c>
      <c r="D14" s="13">
        <f>SUM(D5:D13)</f>
        <v>93595</v>
      </c>
      <c r="E14" s="13">
        <f>SUM(E5:E13)</f>
        <v>32565</v>
      </c>
      <c r="F14" s="13">
        <f>SUM(F5:F13)</f>
        <v>13779</v>
      </c>
      <c r="G14" s="13">
        <f>SUM(G5:G13)</f>
        <v>139939</v>
      </c>
      <c r="H14" s="11" t="str">
        <f t="shared" ca="1" si="1"/>
        <v>=SUMA(G5:G13)</v>
      </c>
    </row>
    <row r="16" spans="1:10" x14ac:dyDescent="0.3">
      <c r="B16" s="4" t="s">
        <v>68</v>
      </c>
    </row>
    <row r="17" spans="2:10" x14ac:dyDescent="0.3">
      <c r="B17" s="8" t="s">
        <v>69</v>
      </c>
      <c r="C17" s="14">
        <f>D14/$G$14</f>
        <v>0.66882713182172238</v>
      </c>
      <c r="D17" s="11" t="str">
        <f ca="1">_xlfn.FORMULATEXT(C17)</f>
        <v>=D14/$G$14</v>
      </c>
    </row>
    <row r="18" spans="2:10" x14ac:dyDescent="0.3">
      <c r="B18" s="8" t="s">
        <v>70</v>
      </c>
      <c r="C18" s="14">
        <f>E14/$G$14</f>
        <v>0.23270853729124832</v>
      </c>
      <c r="D18" s="11" t="str">
        <f ca="1">_xlfn.FORMULATEXT(C18)</f>
        <v>=E14/$G$14</v>
      </c>
    </row>
    <row r="19" spans="2:10" x14ac:dyDescent="0.3">
      <c r="B19" s="8" t="s">
        <v>71</v>
      </c>
      <c r="C19" s="14">
        <f>F14/$G$14</f>
        <v>9.8464330887029355E-2</v>
      </c>
      <c r="D19" s="11" t="str">
        <f ca="1">_xlfn.FORMULATEXT(C19)</f>
        <v>=F14/$G$14</v>
      </c>
    </row>
    <row r="21" spans="2:10" ht="30" customHeight="1" x14ac:dyDescent="0.3">
      <c r="B21" s="34" t="s">
        <v>72</v>
      </c>
      <c r="C21" s="35"/>
      <c r="D21" s="35"/>
      <c r="E21" s="35"/>
      <c r="F21" s="35"/>
      <c r="G21" s="35"/>
      <c r="H21" s="35"/>
      <c r="I21" s="35"/>
      <c r="J21" s="35"/>
    </row>
  </sheetData>
  <mergeCells count="1">
    <mergeCell ref="B21:J2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D6F86"/>
  </sheetPr>
  <dimension ref="A1:G17"/>
  <sheetViews>
    <sheetView showGridLines="0" workbookViewId="0">
      <pane xSplit="2" ySplit="4" topLeftCell="C5" activePane="bottomRight" state="frozen"/>
      <selection pane="topRight"/>
      <selection pane="bottomLeft"/>
      <selection pane="bottomRight"/>
    </sheetView>
  </sheetViews>
  <sheetFormatPr baseColWidth="10" defaultColWidth="8.88671875" defaultRowHeight="14.4" x14ac:dyDescent="0.3"/>
  <cols>
    <col min="1" max="1" width="8" customWidth="1"/>
    <col min="2" max="2" width="44" customWidth="1"/>
    <col min="3" max="6" width="18" customWidth="1"/>
    <col min="7" max="7" width="20" customWidth="1"/>
  </cols>
  <sheetData>
    <row r="1" spans="1:7" ht="17.399999999999999" x14ac:dyDescent="0.3">
      <c r="A1" s="1" t="s">
        <v>73</v>
      </c>
    </row>
    <row r="2" spans="1:7" x14ac:dyDescent="0.3">
      <c r="A2" s="2" t="s">
        <v>1</v>
      </c>
    </row>
    <row r="3" spans="1:7" x14ac:dyDescent="0.3">
      <c r="A3" s="3" t="s">
        <v>74</v>
      </c>
    </row>
    <row r="4" spans="1:7" ht="42" customHeight="1" x14ac:dyDescent="0.3">
      <c r="A4" s="6" t="s">
        <v>31</v>
      </c>
      <c r="B4" s="6" t="s">
        <v>75</v>
      </c>
      <c r="C4" s="6" t="s">
        <v>76</v>
      </c>
      <c r="D4" s="6" t="s">
        <v>77</v>
      </c>
      <c r="E4" s="6" t="s">
        <v>78</v>
      </c>
      <c r="F4" s="6" t="s">
        <v>79</v>
      </c>
      <c r="G4" s="6" t="s">
        <v>80</v>
      </c>
    </row>
    <row r="5" spans="1:7" x14ac:dyDescent="0.3">
      <c r="A5" s="7" t="s">
        <v>41</v>
      </c>
      <c r="B5" s="8" t="s">
        <v>42</v>
      </c>
      <c r="C5" s="12"/>
      <c r="D5" s="12"/>
      <c r="E5" s="12"/>
      <c r="F5" s="12"/>
      <c r="G5" s="12"/>
    </row>
    <row r="6" spans="1:7" x14ac:dyDescent="0.3">
      <c r="A6" s="7" t="s">
        <v>44</v>
      </c>
      <c r="B6" s="8" t="s">
        <v>45</v>
      </c>
      <c r="C6" s="12">
        <v>6</v>
      </c>
      <c r="D6" s="12"/>
      <c r="E6" s="12"/>
      <c r="F6" s="12"/>
      <c r="G6" s="12"/>
    </row>
    <row r="7" spans="1:7" x14ac:dyDescent="0.3">
      <c r="A7" s="7" t="s">
        <v>46</v>
      </c>
      <c r="B7" s="8" t="s">
        <v>47</v>
      </c>
      <c r="C7" s="12">
        <v>4</v>
      </c>
      <c r="D7" s="12">
        <v>40</v>
      </c>
      <c r="E7" s="12"/>
      <c r="F7" s="12"/>
      <c r="G7" s="12"/>
    </row>
    <row r="8" spans="1:7" x14ac:dyDescent="0.3">
      <c r="A8" s="7" t="s">
        <v>49</v>
      </c>
      <c r="B8" s="8" t="s">
        <v>50</v>
      </c>
      <c r="C8" s="12">
        <v>3</v>
      </c>
      <c r="D8" s="12">
        <v>60</v>
      </c>
      <c r="E8" s="12"/>
      <c r="F8" s="12"/>
      <c r="G8" s="12"/>
    </row>
    <row r="9" spans="1:7" x14ac:dyDescent="0.3">
      <c r="A9" s="7" t="s">
        <v>53</v>
      </c>
      <c r="B9" s="8" t="s">
        <v>54</v>
      </c>
      <c r="C9" s="12">
        <v>7</v>
      </c>
      <c r="D9" s="12">
        <v>120</v>
      </c>
      <c r="E9" s="12"/>
      <c r="F9" s="12"/>
      <c r="G9" s="12"/>
    </row>
    <row r="10" spans="1:7" x14ac:dyDescent="0.3">
      <c r="A10" s="7" t="s">
        <v>56</v>
      </c>
      <c r="B10" s="8" t="s">
        <v>57</v>
      </c>
      <c r="C10" s="12">
        <v>10</v>
      </c>
      <c r="D10" s="12">
        <v>320</v>
      </c>
      <c r="E10" s="12">
        <v>4000</v>
      </c>
      <c r="F10" s="12">
        <v>3600</v>
      </c>
      <c r="G10" s="12">
        <v>3600</v>
      </c>
    </row>
    <row r="11" spans="1:7" x14ac:dyDescent="0.3">
      <c r="A11" s="7" t="s">
        <v>60</v>
      </c>
      <c r="B11" s="8" t="s">
        <v>61</v>
      </c>
      <c r="C11" s="12">
        <v>2</v>
      </c>
      <c r="D11" s="12">
        <v>40</v>
      </c>
      <c r="E11" s="12">
        <v>450</v>
      </c>
      <c r="F11" s="12">
        <v>300</v>
      </c>
      <c r="G11" s="12">
        <v>600</v>
      </c>
    </row>
    <row r="12" spans="1:7" x14ac:dyDescent="0.3">
      <c r="A12" s="7" t="s">
        <v>62</v>
      </c>
      <c r="B12" s="8" t="s">
        <v>63</v>
      </c>
      <c r="C12" s="12">
        <v>3</v>
      </c>
      <c r="D12" s="12">
        <v>40</v>
      </c>
      <c r="E12" s="12">
        <v>650</v>
      </c>
      <c r="F12" s="12">
        <v>100</v>
      </c>
      <c r="G12" s="12">
        <v>100</v>
      </c>
    </row>
    <row r="13" spans="1:7" x14ac:dyDescent="0.3">
      <c r="A13" s="7" t="s">
        <v>64</v>
      </c>
      <c r="B13" s="8" t="s">
        <v>65</v>
      </c>
      <c r="C13" s="12">
        <v>8</v>
      </c>
      <c r="D13" s="12">
        <v>220</v>
      </c>
      <c r="E13" s="12">
        <v>1200</v>
      </c>
      <c r="F13" s="12">
        <v>1100</v>
      </c>
      <c r="G13" s="12">
        <v>3700</v>
      </c>
    </row>
    <row r="14" spans="1:7" x14ac:dyDescent="0.3">
      <c r="B14" s="4" t="s">
        <v>81</v>
      </c>
      <c r="C14" s="15">
        <f>SUM(C5:C13)</f>
        <v>43</v>
      </c>
      <c r="D14" s="15">
        <f>SUM(D5:D13)</f>
        <v>840</v>
      </c>
      <c r="E14" s="15">
        <f>SUM(E5:E13)</f>
        <v>6300</v>
      </c>
      <c r="F14" s="15">
        <f>SUM(F5:F13)</f>
        <v>5100</v>
      </c>
      <c r="G14" s="15">
        <f>SUM(G5:G13)</f>
        <v>8000</v>
      </c>
    </row>
    <row r="15" spans="1:7" x14ac:dyDescent="0.3">
      <c r="B15" s="3" t="s">
        <v>82</v>
      </c>
      <c r="C15" s="11" t="str">
        <f ca="1">_xlfn.FORMULATEXT(C14)</f>
        <v>=SUMA(C5:C13)</v>
      </c>
    </row>
    <row r="17" spans="2:7" ht="43.95" customHeight="1" x14ac:dyDescent="0.3">
      <c r="B17" s="34" t="s">
        <v>83</v>
      </c>
      <c r="C17" s="35"/>
      <c r="D17" s="35"/>
      <c r="E17" s="35"/>
      <c r="F17" s="35"/>
      <c r="G17" s="35"/>
    </row>
  </sheetData>
  <mergeCells count="1">
    <mergeCell ref="B17:G1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2532A"/>
  </sheetPr>
  <dimension ref="A1:N20"/>
  <sheetViews>
    <sheetView showGridLines="0" workbookViewId="0">
      <pane xSplit="2" ySplit="4" topLeftCell="C5" activePane="bottomRight" state="frozen"/>
      <selection pane="topRight"/>
      <selection pane="bottomLeft"/>
      <selection pane="bottomRight"/>
    </sheetView>
  </sheetViews>
  <sheetFormatPr baseColWidth="10" defaultColWidth="8.88671875" defaultRowHeight="14.4" x14ac:dyDescent="0.3"/>
  <cols>
    <col min="1" max="1" width="8" customWidth="1"/>
    <col min="2" max="2" width="44" customWidth="1"/>
    <col min="3" max="3" width="15" customWidth="1"/>
    <col min="4" max="8" width="13" customWidth="1"/>
    <col min="9" max="9" width="15" customWidth="1"/>
    <col min="10" max="10" width="11" customWidth="1"/>
    <col min="11" max="12" width="15" customWidth="1"/>
    <col min="13" max="13" width="11" customWidth="1"/>
    <col min="14" max="14" width="34" customWidth="1"/>
  </cols>
  <sheetData>
    <row r="1" spans="1:14" ht="17.399999999999999" x14ac:dyDescent="0.3">
      <c r="A1" s="1" t="s">
        <v>84</v>
      </c>
    </row>
    <row r="2" spans="1:14" x14ac:dyDescent="0.3">
      <c r="A2" s="2" t="s">
        <v>1</v>
      </c>
    </row>
    <row r="3" spans="1:14" x14ac:dyDescent="0.3">
      <c r="A3" s="3" t="s">
        <v>85</v>
      </c>
    </row>
    <row r="4" spans="1:14" ht="42" customHeight="1" x14ac:dyDescent="0.3">
      <c r="A4" s="6" t="s">
        <v>31</v>
      </c>
      <c r="B4" s="6" t="s">
        <v>75</v>
      </c>
      <c r="C4" s="6" t="s">
        <v>37</v>
      </c>
      <c r="D4" s="6" t="s">
        <v>86</v>
      </c>
      <c r="E4" s="6" t="s">
        <v>87</v>
      </c>
      <c r="F4" s="6" t="s">
        <v>88</v>
      </c>
      <c r="G4" s="6" t="s">
        <v>89</v>
      </c>
      <c r="H4" s="6" t="s">
        <v>90</v>
      </c>
      <c r="I4" s="6" t="s">
        <v>91</v>
      </c>
      <c r="J4" s="6" t="s">
        <v>92</v>
      </c>
      <c r="K4" s="6" t="s">
        <v>93</v>
      </c>
      <c r="L4" s="6" t="s">
        <v>94</v>
      </c>
      <c r="M4" s="6" t="s">
        <v>95</v>
      </c>
      <c r="N4" s="6" t="s">
        <v>96</v>
      </c>
    </row>
    <row r="5" spans="1:14" x14ac:dyDescent="0.3">
      <c r="A5" s="7" t="s">
        <v>41</v>
      </c>
      <c r="B5" s="8" t="s">
        <v>42</v>
      </c>
      <c r="C5" s="16">
        <f>Centros!G5</f>
        <v>9500</v>
      </c>
      <c r="D5" s="10"/>
      <c r="E5" s="10"/>
      <c r="F5" s="10"/>
      <c r="G5" s="10"/>
      <c r="H5" s="10"/>
      <c r="I5" s="17" t="s">
        <v>97</v>
      </c>
    </row>
    <row r="6" spans="1:14" x14ac:dyDescent="0.3">
      <c r="A6" s="7" t="s">
        <v>44</v>
      </c>
      <c r="B6" s="8" t="s">
        <v>45</v>
      </c>
      <c r="C6" s="16">
        <f>Centros!G6</f>
        <v>7500</v>
      </c>
      <c r="D6" s="18"/>
      <c r="E6" s="10"/>
      <c r="F6" s="10"/>
      <c r="G6" s="10"/>
      <c r="H6" s="10"/>
      <c r="I6" s="17" t="s">
        <v>97</v>
      </c>
    </row>
    <row r="7" spans="1:14" x14ac:dyDescent="0.3">
      <c r="A7" s="7" t="s">
        <v>46</v>
      </c>
      <c r="B7" s="8" t="s">
        <v>47</v>
      </c>
      <c r="C7" s="16">
        <f>Centros!G7</f>
        <v>3500</v>
      </c>
      <c r="D7" s="18"/>
      <c r="E7" s="18"/>
      <c r="F7" s="10"/>
      <c r="G7" s="10"/>
      <c r="H7" s="10"/>
      <c r="I7" s="17" t="s">
        <v>97</v>
      </c>
    </row>
    <row r="8" spans="1:14" x14ac:dyDescent="0.3">
      <c r="A8" s="7" t="s">
        <v>49</v>
      </c>
      <c r="B8" s="8" t="s">
        <v>50</v>
      </c>
      <c r="C8" s="16">
        <f>Centros!G8</f>
        <v>3000</v>
      </c>
      <c r="D8" s="18"/>
      <c r="E8" s="18"/>
      <c r="F8" s="10"/>
      <c r="G8" s="10"/>
      <c r="H8" s="10"/>
      <c r="I8" s="17" t="s">
        <v>97</v>
      </c>
    </row>
    <row r="9" spans="1:14" x14ac:dyDescent="0.3">
      <c r="A9" s="7" t="s">
        <v>53</v>
      </c>
      <c r="B9" s="8" t="s">
        <v>54</v>
      </c>
      <c r="C9" s="16">
        <f>Centros!G9</f>
        <v>18315</v>
      </c>
      <c r="D9" s="18"/>
      <c r="E9" s="18"/>
      <c r="F9" s="10"/>
      <c r="G9" s="10"/>
      <c r="H9" s="10"/>
      <c r="I9" s="17" t="s">
        <v>97</v>
      </c>
    </row>
    <row r="10" spans="1:14" x14ac:dyDescent="0.3">
      <c r="A10" s="7" t="s">
        <v>56</v>
      </c>
      <c r="B10" s="8" t="s">
        <v>57</v>
      </c>
      <c r="C10" s="16">
        <f>Centros!G10</f>
        <v>50843</v>
      </c>
      <c r="D10" s="18"/>
      <c r="E10" s="18"/>
      <c r="F10" s="18"/>
      <c r="G10" s="18"/>
      <c r="H10" s="18"/>
      <c r="I10" s="18"/>
      <c r="J10" s="19">
        <f>Centros!I10</f>
        <v>4000</v>
      </c>
      <c r="K10" s="18"/>
      <c r="L10" s="16">
        <f>Centros!E10</f>
        <v>14400</v>
      </c>
      <c r="M10" s="20"/>
      <c r="N10" s="17" t="s">
        <v>98</v>
      </c>
    </row>
    <row r="11" spans="1:14" x14ac:dyDescent="0.3">
      <c r="A11" s="7" t="s">
        <v>60</v>
      </c>
      <c r="B11" s="8" t="s">
        <v>61</v>
      </c>
      <c r="C11" s="16">
        <f>Centros!G11</f>
        <v>6858</v>
      </c>
      <c r="D11" s="18"/>
      <c r="E11" s="18"/>
      <c r="F11" s="18"/>
      <c r="G11" s="18"/>
      <c r="H11" s="18"/>
      <c r="I11" s="18"/>
      <c r="J11" s="19">
        <f>Centros!I11</f>
        <v>450</v>
      </c>
      <c r="K11" s="18"/>
      <c r="L11" s="16">
        <f>Centros!E11</f>
        <v>675</v>
      </c>
      <c r="M11" s="20"/>
      <c r="N11" s="17" t="s">
        <v>98</v>
      </c>
    </row>
    <row r="12" spans="1:14" x14ac:dyDescent="0.3">
      <c r="A12" s="7" t="s">
        <v>62</v>
      </c>
      <c r="B12" s="8" t="s">
        <v>63</v>
      </c>
      <c r="C12" s="16">
        <f>Centros!G12</f>
        <v>7823</v>
      </c>
      <c r="D12" s="18"/>
      <c r="E12" s="18"/>
      <c r="F12" s="18"/>
      <c r="G12" s="18"/>
      <c r="H12" s="18"/>
      <c r="I12" s="18"/>
      <c r="J12" s="19">
        <f>Centros!I12</f>
        <v>650</v>
      </c>
      <c r="K12" s="18"/>
      <c r="L12" s="16">
        <f>Centros!E12</f>
        <v>650</v>
      </c>
      <c r="M12" s="20"/>
      <c r="N12" s="17" t="s">
        <v>98</v>
      </c>
    </row>
    <row r="13" spans="1:14" x14ac:dyDescent="0.3">
      <c r="A13" s="7" t="s">
        <v>64</v>
      </c>
      <c r="B13" s="8" t="s">
        <v>65</v>
      </c>
      <c r="C13" s="16">
        <f>Centros!G13</f>
        <v>32600</v>
      </c>
      <c r="D13" s="18"/>
      <c r="E13" s="18"/>
      <c r="F13" s="18"/>
      <c r="G13" s="18"/>
      <c r="H13" s="18"/>
      <c r="I13" s="18"/>
      <c r="J13" s="19">
        <f>Centros!I13</f>
        <v>1200</v>
      </c>
      <c r="K13" s="18"/>
      <c r="L13" s="16">
        <f>Centros!E13</f>
        <v>8000</v>
      </c>
      <c r="M13" s="20"/>
      <c r="N13" s="17" t="s">
        <v>98</v>
      </c>
    </row>
    <row r="14" spans="1:14" x14ac:dyDescent="0.3">
      <c r="B14" s="4" t="s">
        <v>99</v>
      </c>
      <c r="D14" s="21"/>
      <c r="E14" s="21"/>
      <c r="F14" s="21"/>
      <c r="G14" s="21"/>
      <c r="H14" s="21"/>
    </row>
    <row r="16" spans="1:14" x14ac:dyDescent="0.3">
      <c r="B16" s="7" t="s">
        <v>100</v>
      </c>
      <c r="C16" s="10">
        <f>SUM(C5:C13)</f>
        <v>139939</v>
      </c>
    </row>
    <row r="17" spans="2:13" x14ac:dyDescent="0.3">
      <c r="B17" s="7" t="s">
        <v>101</v>
      </c>
      <c r="C17" s="10">
        <f>SUM(I10:I13)</f>
        <v>0</v>
      </c>
      <c r="G17" s="11" t="str">
        <f ca="1">_xlfn.FORMULATEXT(C17)</f>
        <v>=SUMA(I10:I13)</v>
      </c>
    </row>
    <row r="18" spans="2:13" x14ac:dyDescent="0.3">
      <c r="B18" s="7" t="s">
        <v>102</v>
      </c>
      <c r="C18" s="37" t="str">
        <f>IF(ABS(C16-C17)&lt;0.5,"Sí: todo el costo llegó a los finales","No: revise el reparto")</f>
        <v>No: revise el reparto</v>
      </c>
      <c r="D18" s="38"/>
      <c r="E18" s="38"/>
      <c r="F18" s="39"/>
    </row>
    <row r="20" spans="2:13" ht="58.05" customHeight="1" x14ac:dyDescent="0.3">
      <c r="B20" s="36" t="s">
        <v>103</v>
      </c>
      <c r="C20" s="35"/>
      <c r="D20" s="35"/>
      <c r="E20" s="35"/>
      <c r="F20" s="35"/>
      <c r="G20" s="35"/>
      <c r="H20" s="35"/>
      <c r="I20" s="35"/>
      <c r="J20" s="35"/>
      <c r="K20" s="35"/>
      <c r="L20" s="35"/>
      <c r="M20" s="35"/>
    </row>
  </sheetData>
  <mergeCells count="2">
    <mergeCell ref="B20:M20"/>
    <mergeCell ref="C18:F1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D6F86"/>
  </sheetPr>
  <dimension ref="A1:H20"/>
  <sheetViews>
    <sheetView showGridLines="0" workbookViewId="0"/>
  </sheetViews>
  <sheetFormatPr baseColWidth="10" defaultColWidth="8.88671875" defaultRowHeight="14.4" x14ac:dyDescent="0.3"/>
  <cols>
    <col min="1" max="1" width="52" customWidth="1"/>
    <col min="2" max="2" width="16" customWidth="1"/>
    <col min="3" max="3" width="22" customWidth="1"/>
    <col min="4" max="5" width="16" customWidth="1"/>
    <col min="6" max="6" width="10" customWidth="1"/>
    <col min="7" max="7" width="16" customWidth="1"/>
    <col min="8" max="8" width="20" customWidth="1"/>
  </cols>
  <sheetData>
    <row r="1" spans="1:8" ht="17.399999999999999" x14ac:dyDescent="0.3">
      <c r="A1" s="1" t="s">
        <v>104</v>
      </c>
    </row>
    <row r="2" spans="1:8" x14ac:dyDescent="0.3">
      <c r="A2" s="2" t="s">
        <v>1</v>
      </c>
    </row>
    <row r="3" spans="1:8" x14ac:dyDescent="0.3">
      <c r="A3" s="3" t="s">
        <v>105</v>
      </c>
    </row>
    <row r="4" spans="1:8" ht="42" customHeight="1" x14ac:dyDescent="0.3">
      <c r="A4" s="6" t="s">
        <v>106</v>
      </c>
      <c r="B4" s="6" t="s">
        <v>34</v>
      </c>
      <c r="C4" s="6" t="s">
        <v>35</v>
      </c>
      <c r="D4" s="6" t="s">
        <v>36</v>
      </c>
      <c r="E4" s="6" t="s">
        <v>107</v>
      </c>
      <c r="F4" s="6" t="s">
        <v>108</v>
      </c>
      <c r="G4" s="6" t="s">
        <v>109</v>
      </c>
      <c r="H4" s="6" t="s">
        <v>110</v>
      </c>
    </row>
    <row r="5" spans="1:8" x14ac:dyDescent="0.3">
      <c r="A5" s="7" t="s">
        <v>111</v>
      </c>
      <c r="B5" s="9">
        <v>3900</v>
      </c>
      <c r="C5" s="9">
        <v>2350</v>
      </c>
      <c r="D5" s="9">
        <v>900</v>
      </c>
      <c r="E5" s="10">
        <f>SUM(B5:D5)</f>
        <v>7150</v>
      </c>
      <c r="F5" s="12">
        <v>2800</v>
      </c>
      <c r="G5" s="23">
        <f>E5/F5</f>
        <v>2.5535714285714284</v>
      </c>
      <c r="H5" s="11" t="str">
        <f ca="1">_xlfn.FORMULATEXT(G5)</f>
        <v>=E5/F5</v>
      </c>
    </row>
    <row r="6" spans="1:8" x14ac:dyDescent="0.3">
      <c r="A6" s="7" t="s">
        <v>112</v>
      </c>
      <c r="B6" s="9">
        <v>1975</v>
      </c>
      <c r="C6" s="9">
        <v>2000</v>
      </c>
      <c r="D6" s="9">
        <v>700</v>
      </c>
      <c r="E6" s="10">
        <f>SUM(B6:D6)</f>
        <v>4675</v>
      </c>
      <c r="F6" s="12">
        <v>2200</v>
      </c>
      <c r="G6" s="23">
        <f>E6/F6</f>
        <v>2.125</v>
      </c>
      <c r="H6" s="11" t="str">
        <f ca="1">_xlfn.FORMULATEXT(G6)</f>
        <v>=E6/F6</v>
      </c>
    </row>
    <row r="7" spans="1:8" x14ac:dyDescent="0.3">
      <c r="A7" s="7" t="s">
        <v>113</v>
      </c>
      <c r="B7" s="9">
        <v>3000</v>
      </c>
      <c r="C7" s="9">
        <v>2690</v>
      </c>
      <c r="D7" s="9">
        <v>800</v>
      </c>
      <c r="E7" s="10">
        <f>SUM(B7:D7)</f>
        <v>6490</v>
      </c>
      <c r="F7" s="12">
        <v>3000</v>
      </c>
      <c r="G7" s="23">
        <f>E7/F7</f>
        <v>2.1633333333333336</v>
      </c>
      <c r="H7" s="11" t="str">
        <f ca="1">_xlfn.FORMULATEXT(G7)</f>
        <v>=E7/F7</v>
      </c>
    </row>
    <row r="8" spans="1:8" x14ac:dyDescent="0.3">
      <c r="A8" s="4" t="s">
        <v>114</v>
      </c>
      <c r="B8" s="13">
        <f>SUM(B5:B7)</f>
        <v>8875</v>
      </c>
      <c r="C8" s="13">
        <f>SUM(C5:C7)</f>
        <v>7040</v>
      </c>
      <c r="D8" s="13">
        <f>SUM(D5:D7)</f>
        <v>2400</v>
      </c>
      <c r="E8" s="13">
        <f>SUM(E5:E7)</f>
        <v>18315</v>
      </c>
      <c r="F8" s="15">
        <f>SUM(F5:F7)</f>
        <v>8000</v>
      </c>
      <c r="G8" s="13">
        <f>E8/F8</f>
        <v>2.2893750000000002</v>
      </c>
    </row>
    <row r="9" spans="1:8" x14ac:dyDescent="0.3">
      <c r="A9" s="8" t="s">
        <v>115</v>
      </c>
      <c r="E9" s="22" t="str">
        <f>IF(ABS(E8-Centros!G9)&lt;0.01,"Sí","No")</f>
        <v>Sí</v>
      </c>
    </row>
    <row r="11" spans="1:8" x14ac:dyDescent="0.3">
      <c r="A11" s="4" t="s">
        <v>116</v>
      </c>
    </row>
    <row r="12" spans="1:8" x14ac:dyDescent="0.3">
      <c r="A12" s="8" t="s">
        <v>117</v>
      </c>
      <c r="B12" s="9">
        <v>1.9</v>
      </c>
    </row>
    <row r="13" spans="1:8" x14ac:dyDescent="0.3">
      <c r="A13" s="8" t="s">
        <v>118</v>
      </c>
      <c r="B13" s="24">
        <f>F6</f>
        <v>2200</v>
      </c>
      <c r="C13" s="11" t="str">
        <f t="shared" ref="C13:C18" ca="1" si="0">_xlfn.FORMULATEXT(B13)</f>
        <v>=F6</v>
      </c>
    </row>
    <row r="14" spans="1:8" x14ac:dyDescent="0.3">
      <c r="A14" s="8" t="s">
        <v>119</v>
      </c>
      <c r="B14" s="10">
        <f>C6</f>
        <v>2000</v>
      </c>
      <c r="C14" s="11" t="str">
        <f t="shared" ca="1" si="0"/>
        <v>=C6</v>
      </c>
    </row>
    <row r="15" spans="1:8" x14ac:dyDescent="0.3">
      <c r="A15" s="8" t="s">
        <v>120</v>
      </c>
      <c r="B15" s="10">
        <f>B6+D6</f>
        <v>2675</v>
      </c>
      <c r="C15" s="11" t="str">
        <f t="shared" ca="1" si="0"/>
        <v>=B6+D6</v>
      </c>
    </row>
    <row r="16" spans="1:8" x14ac:dyDescent="0.3">
      <c r="A16" s="8" t="s">
        <v>121</v>
      </c>
      <c r="B16" s="10">
        <f>E6</f>
        <v>4675</v>
      </c>
      <c r="C16" s="11" t="str">
        <f t="shared" ca="1" si="0"/>
        <v>=E6</v>
      </c>
    </row>
    <row r="17" spans="1:3" x14ac:dyDescent="0.3">
      <c r="A17" s="8" t="s">
        <v>122</v>
      </c>
      <c r="B17" s="10">
        <f>B12*B13+B15</f>
        <v>6855</v>
      </c>
      <c r="C17" s="11" t="str">
        <f t="shared" ca="1" si="0"/>
        <v>=B12*B13+B15</v>
      </c>
    </row>
    <row r="18" spans="1:3" x14ac:dyDescent="0.3">
      <c r="A18" s="8" t="s">
        <v>123</v>
      </c>
      <c r="B18" s="23">
        <f>B17-B16</f>
        <v>2180</v>
      </c>
      <c r="C18" s="11" t="str">
        <f t="shared" ca="1" si="0"/>
        <v>=B17-B16</v>
      </c>
    </row>
    <row r="20" spans="1:3" x14ac:dyDescent="0.3">
      <c r="A20" s="3"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D6F86"/>
  </sheetPr>
  <dimension ref="A1:F21"/>
  <sheetViews>
    <sheetView showGridLines="0" workbookViewId="0"/>
  </sheetViews>
  <sheetFormatPr baseColWidth="10" defaultColWidth="8.88671875" defaultRowHeight="14.4" x14ac:dyDescent="0.3"/>
  <cols>
    <col min="1" max="1" width="58" customWidth="1"/>
    <col min="2" max="2" width="26" customWidth="1"/>
    <col min="3" max="5" width="18" customWidth="1"/>
    <col min="6" max="6" width="22" customWidth="1"/>
  </cols>
  <sheetData>
    <row r="1" spans="1:6" ht="17.399999999999999" x14ac:dyDescent="0.3">
      <c r="A1" s="1" t="s">
        <v>125</v>
      </c>
    </row>
    <row r="2" spans="1:6" x14ac:dyDescent="0.3">
      <c r="A2" s="2" t="s">
        <v>1</v>
      </c>
    </row>
    <row r="3" spans="1:6" x14ac:dyDescent="0.3">
      <c r="A3" s="3" t="s">
        <v>126</v>
      </c>
    </row>
    <row r="4" spans="1:6" ht="42" customHeight="1" x14ac:dyDescent="0.3">
      <c r="A4" s="6" t="s">
        <v>127</v>
      </c>
      <c r="B4" s="6" t="s">
        <v>128</v>
      </c>
      <c r="C4" s="6" t="s">
        <v>129</v>
      </c>
      <c r="D4" s="6" t="s">
        <v>130</v>
      </c>
      <c r="E4" s="6" t="s">
        <v>110</v>
      </c>
    </row>
    <row r="5" spans="1:6" x14ac:dyDescent="0.3">
      <c r="A5" s="7" t="s">
        <v>131</v>
      </c>
      <c r="B5" s="9">
        <v>1080</v>
      </c>
      <c r="C5" s="12">
        <v>7200</v>
      </c>
      <c r="D5" s="25">
        <f>B5/C5</f>
        <v>0.15</v>
      </c>
      <c r="E5" s="11" t="str">
        <f ca="1">_xlfn.FORMULATEXT(D5)</f>
        <v>=B5/C5</v>
      </c>
    </row>
    <row r="6" spans="1:6" x14ac:dyDescent="0.3">
      <c r="A6" s="7" t="s">
        <v>132</v>
      </c>
      <c r="B6" s="9">
        <v>2400</v>
      </c>
      <c r="C6" s="12">
        <v>7200</v>
      </c>
      <c r="D6" s="25">
        <f>B6/C6</f>
        <v>0.33333333333333331</v>
      </c>
      <c r="E6" s="11" t="str">
        <f ca="1">_xlfn.FORMULATEXT(D6)</f>
        <v>=B6/C6</v>
      </c>
    </row>
    <row r="7" spans="1:6" x14ac:dyDescent="0.3">
      <c r="A7" s="7" t="s">
        <v>133</v>
      </c>
      <c r="B7" s="9">
        <v>4320</v>
      </c>
      <c r="C7" s="12">
        <v>7200</v>
      </c>
      <c r="D7" s="25">
        <f>B7/C7</f>
        <v>0.6</v>
      </c>
      <c r="E7" s="11" t="str">
        <f ca="1">_xlfn.FORMULATEXT(D7)</f>
        <v>=B7/C7</v>
      </c>
    </row>
    <row r="8" spans="1:6" x14ac:dyDescent="0.3">
      <c r="A8" s="3" t="s">
        <v>134</v>
      </c>
    </row>
    <row r="10" spans="1:6" ht="42" customHeight="1" x14ac:dyDescent="0.3">
      <c r="A10" s="6" t="s">
        <v>135</v>
      </c>
      <c r="B10" s="6" t="s">
        <v>127</v>
      </c>
      <c r="C10" s="6" t="s">
        <v>136</v>
      </c>
      <c r="D10" s="6" t="s">
        <v>130</v>
      </c>
      <c r="E10" s="6" t="s">
        <v>137</v>
      </c>
      <c r="F10" s="6" t="s">
        <v>110</v>
      </c>
    </row>
    <row r="11" spans="1:6" x14ac:dyDescent="0.3">
      <c r="A11" s="8" t="s">
        <v>138</v>
      </c>
      <c r="B11" s="26" t="str">
        <f>A5</f>
        <v>Admisión y registros médicos</v>
      </c>
      <c r="C11" s="12">
        <v>5</v>
      </c>
      <c r="D11" s="27">
        <f>D5</f>
        <v>0.15</v>
      </c>
      <c r="E11" s="10">
        <f>C11*D11</f>
        <v>0.75</v>
      </c>
      <c r="F11" s="11" t="str">
        <f ca="1">_xlfn.FORMULATEXT(E11)</f>
        <v>=C11*D11</v>
      </c>
    </row>
    <row r="12" spans="1:6" x14ac:dyDescent="0.3">
      <c r="A12" s="8" t="s">
        <v>139</v>
      </c>
      <c r="B12" s="26" t="str">
        <f>A6</f>
        <v>Enfermería</v>
      </c>
      <c r="C12" s="12">
        <v>20</v>
      </c>
      <c r="D12" s="27">
        <f>D6</f>
        <v>0.33333333333333331</v>
      </c>
      <c r="E12" s="10">
        <f>C12*D12</f>
        <v>6.6666666666666661</v>
      </c>
      <c r="F12" s="11" t="str">
        <f ca="1">_xlfn.FORMULATEXT(E12)</f>
        <v>=C12*D12</v>
      </c>
    </row>
    <row r="13" spans="1:6" x14ac:dyDescent="0.3">
      <c r="A13" s="8" t="s">
        <v>140</v>
      </c>
      <c r="B13" s="26" t="str">
        <f>A7</f>
        <v>Médico general</v>
      </c>
      <c r="C13" s="12">
        <v>5</v>
      </c>
      <c r="D13" s="27">
        <f>D7</f>
        <v>0.6</v>
      </c>
      <c r="E13" s="10">
        <f>C13*D13</f>
        <v>3</v>
      </c>
      <c r="F13" s="11" t="str">
        <f ca="1">_xlfn.FORMULATEXT(E13)</f>
        <v>=C13*D13</v>
      </c>
    </row>
    <row r="14" spans="1:6" x14ac:dyDescent="0.3">
      <c r="A14" s="8" t="s">
        <v>141</v>
      </c>
      <c r="E14" s="9">
        <v>1</v>
      </c>
    </row>
    <row r="15" spans="1:6" x14ac:dyDescent="0.3">
      <c r="A15" s="4" t="s">
        <v>142</v>
      </c>
      <c r="E15" s="13">
        <f>SUM(E11:E14)</f>
        <v>11.416666666666666</v>
      </c>
      <c r="F15" s="11" t="str">
        <f ca="1">_xlfn.FORMULATEXT(E15)</f>
        <v>=SUMA(E11:E14)</v>
      </c>
    </row>
    <row r="17" spans="1:6" ht="42" customHeight="1" x14ac:dyDescent="0.3">
      <c r="A17" s="6" t="s">
        <v>143</v>
      </c>
      <c r="B17" s="6" t="s">
        <v>144</v>
      </c>
      <c r="C17" s="6" t="s">
        <v>145</v>
      </c>
      <c r="D17" s="6" t="s">
        <v>146</v>
      </c>
      <c r="E17" s="6" t="s">
        <v>143</v>
      </c>
      <c r="F17" s="6" t="s">
        <v>110</v>
      </c>
    </row>
    <row r="18" spans="1:6" x14ac:dyDescent="0.3">
      <c r="A18" s="8" t="s">
        <v>147</v>
      </c>
      <c r="B18" s="19">
        <f>Centros!I12</f>
        <v>650</v>
      </c>
      <c r="C18" s="24">
        <f>B18*C12</f>
        <v>13000</v>
      </c>
      <c r="D18" s="24">
        <f>C6*2</f>
        <v>14400</v>
      </c>
      <c r="E18" s="28">
        <f>C18/D18</f>
        <v>0.90277777777777779</v>
      </c>
      <c r="F18" s="11" t="str">
        <f ca="1">_xlfn.FORMULATEXT(E18)</f>
        <v>=C18/D18</v>
      </c>
    </row>
    <row r="19" spans="1:6" x14ac:dyDescent="0.3">
      <c r="A19" s="8" t="s">
        <v>148</v>
      </c>
      <c r="B19" s="19">
        <f>Centros!I12</f>
        <v>650</v>
      </c>
      <c r="C19" s="24">
        <f>B19*C13</f>
        <v>3250</v>
      </c>
      <c r="D19" s="24">
        <f>C7*0.5</f>
        <v>3600</v>
      </c>
      <c r="E19" s="28">
        <f>C19/D19</f>
        <v>0.90277777777777779</v>
      </c>
      <c r="F19" s="11" t="str">
        <f ca="1">_xlfn.FORMULATEXT(E19)</f>
        <v>=C19/D19</v>
      </c>
    </row>
    <row r="21" spans="1:6" x14ac:dyDescent="0.3">
      <c r="A21" s="3" t="s">
        <v>149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D6F86"/>
  </sheetPr>
  <dimension ref="A1:H16"/>
  <sheetViews>
    <sheetView showGridLines="0" workbookViewId="0"/>
  </sheetViews>
  <sheetFormatPr baseColWidth="10" defaultColWidth="8.88671875" defaultRowHeight="14.4" x14ac:dyDescent="0.3"/>
  <cols>
    <col min="1" max="1" width="46" customWidth="1"/>
    <col min="2" max="2" width="16" customWidth="1"/>
    <col min="3" max="3" width="18" customWidth="1"/>
    <col min="4" max="4" width="10" customWidth="1"/>
    <col min="5" max="5" width="14" customWidth="1"/>
    <col min="6" max="6" width="16" customWidth="1"/>
    <col min="7" max="7" width="22" customWidth="1"/>
    <col min="8" max="8" width="20" customWidth="1"/>
  </cols>
  <sheetData>
    <row r="1" spans="1:8" ht="17.399999999999999" x14ac:dyDescent="0.3">
      <c r="A1" s="1" t="s">
        <v>150</v>
      </c>
    </row>
    <row r="2" spans="1:8" x14ac:dyDescent="0.3">
      <c r="A2" s="2" t="s">
        <v>1</v>
      </c>
    </row>
    <row r="3" spans="1:8" x14ac:dyDescent="0.3">
      <c r="A3" s="3" t="s">
        <v>151</v>
      </c>
    </row>
    <row r="4" spans="1:8" ht="42" customHeight="1" x14ac:dyDescent="0.3">
      <c r="A4" s="6" t="s">
        <v>152</v>
      </c>
      <c r="B4" s="6" t="s">
        <v>153</v>
      </c>
      <c r="C4" s="6" t="s">
        <v>154</v>
      </c>
      <c r="D4" s="6" t="s">
        <v>114</v>
      </c>
      <c r="E4" s="6" t="s">
        <v>155</v>
      </c>
      <c r="F4" s="6" t="s">
        <v>93</v>
      </c>
      <c r="G4" s="6" t="s">
        <v>156</v>
      </c>
      <c r="H4" s="6" t="s">
        <v>110</v>
      </c>
    </row>
    <row r="5" spans="1:8" x14ac:dyDescent="0.3">
      <c r="A5" s="7" t="s">
        <v>57</v>
      </c>
      <c r="B5" s="12">
        <v>3240</v>
      </c>
      <c r="C5" s="12">
        <v>760</v>
      </c>
      <c r="D5" s="24">
        <f>B5+C5</f>
        <v>4000</v>
      </c>
      <c r="E5" s="14">
        <f>IF(D5&gt;0,C5/D5,0)</f>
        <v>0.19</v>
      </c>
      <c r="F5" s="16">
        <f>Reparto!K10</f>
        <v>0</v>
      </c>
      <c r="G5" s="23">
        <f>C5*F5</f>
        <v>0</v>
      </c>
      <c r="H5" s="11" t="str">
        <f ca="1">_xlfn.FORMULATEXT(G5)</f>
        <v>=C5*F5</v>
      </c>
    </row>
    <row r="6" spans="1:8" x14ac:dyDescent="0.3">
      <c r="A6" s="7" t="s">
        <v>61</v>
      </c>
      <c r="B6" s="12">
        <v>315</v>
      </c>
      <c r="C6" s="12">
        <v>135</v>
      </c>
      <c r="D6" s="24">
        <f>B6+C6</f>
        <v>450</v>
      </c>
      <c r="E6" s="14">
        <f>IF(D6&gt;0,C6/D6,0)</f>
        <v>0.3</v>
      </c>
      <c r="F6" s="16">
        <f>Reparto!K11</f>
        <v>0</v>
      </c>
      <c r="G6" s="23">
        <f>C6*F6</f>
        <v>0</v>
      </c>
      <c r="H6" s="11" t="str">
        <f ca="1">_xlfn.FORMULATEXT(G6)</f>
        <v>=C6*F6</v>
      </c>
    </row>
    <row r="7" spans="1:8" x14ac:dyDescent="0.3">
      <c r="A7" s="7" t="s">
        <v>63</v>
      </c>
      <c r="B7" s="12">
        <v>455</v>
      </c>
      <c r="C7" s="12">
        <v>195</v>
      </c>
      <c r="D7" s="24">
        <f>B7+C7</f>
        <v>650</v>
      </c>
      <c r="E7" s="14">
        <f>IF(D7&gt;0,C7/D7,0)</f>
        <v>0.3</v>
      </c>
      <c r="F7" s="16">
        <f>Reparto!K12</f>
        <v>0</v>
      </c>
      <c r="G7" s="23">
        <f>C7*F7</f>
        <v>0</v>
      </c>
      <c r="H7" s="11" t="str">
        <f ca="1">_xlfn.FORMULATEXT(G7)</f>
        <v>=C7*F7</v>
      </c>
    </row>
    <row r="8" spans="1:8" x14ac:dyDescent="0.3">
      <c r="A8" s="7" t="s">
        <v>65</v>
      </c>
      <c r="B8" s="12">
        <v>900</v>
      </c>
      <c r="C8" s="12">
        <v>300</v>
      </c>
      <c r="D8" s="24">
        <f>B8+C8</f>
        <v>1200</v>
      </c>
      <c r="E8" s="14">
        <f>IF(D8&gt;0,C8/D8,0)</f>
        <v>0.25</v>
      </c>
      <c r="F8" s="16">
        <f>Reparto!K13</f>
        <v>0</v>
      </c>
      <c r="G8" s="23">
        <f>C8*F8</f>
        <v>0</v>
      </c>
      <c r="H8" s="11" t="str">
        <f ca="1">_xlfn.FORMULATEXT(G8)</f>
        <v>=C8*F8</v>
      </c>
    </row>
    <row r="9" spans="1:8" x14ac:dyDescent="0.3">
      <c r="A9" s="4" t="s">
        <v>157</v>
      </c>
      <c r="B9" s="15">
        <f>SUM(B5:B8)</f>
        <v>4910</v>
      </c>
      <c r="C9" s="15">
        <f>SUM(C5:C8)</f>
        <v>1390</v>
      </c>
      <c r="D9" s="15">
        <f>SUM(D5:D8)</f>
        <v>6300</v>
      </c>
      <c r="G9" s="13">
        <f>SUM(G5:G8)</f>
        <v>0</v>
      </c>
    </row>
    <row r="10" spans="1:8" x14ac:dyDescent="0.3">
      <c r="A10" s="8" t="s">
        <v>158</v>
      </c>
      <c r="G10" s="23">
        <f>G9*12</f>
        <v>0</v>
      </c>
      <c r="H10" s="11" t="str">
        <f ca="1">_xlfn.FORMULATEXT(G10)</f>
        <v>=G9*12</v>
      </c>
    </row>
    <row r="12" spans="1:8" x14ac:dyDescent="0.3">
      <c r="A12" s="7" t="s">
        <v>159</v>
      </c>
    </row>
    <row r="13" spans="1:8" x14ac:dyDescent="0.3">
      <c r="A13" s="29" t="s">
        <v>160</v>
      </c>
      <c r="B13" s="30"/>
    </row>
    <row r="15" spans="1:8" x14ac:dyDescent="0.3">
      <c r="A15" s="3" t="s">
        <v>161</v>
      </c>
    </row>
    <row r="16" spans="1:8" x14ac:dyDescent="0.3">
      <c r="A16" s="3" t="s">
        <v>162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D6F86"/>
  </sheetPr>
  <dimension ref="A1:C23"/>
  <sheetViews>
    <sheetView showGridLines="0" workbookViewId="0"/>
  </sheetViews>
  <sheetFormatPr baseColWidth="10" defaultColWidth="8.88671875" defaultRowHeight="14.4" x14ac:dyDescent="0.3"/>
  <cols>
    <col min="1" max="1" width="66" customWidth="1"/>
    <col min="2" max="2" width="18" customWidth="1"/>
    <col min="3" max="3" width="48" customWidth="1"/>
  </cols>
  <sheetData>
    <row r="1" spans="1:3" ht="17.399999999999999" x14ac:dyDescent="0.3">
      <c r="A1" s="1" t="s">
        <v>163</v>
      </c>
    </row>
    <row r="2" spans="1:3" x14ac:dyDescent="0.3">
      <c r="A2" s="2" t="s">
        <v>1</v>
      </c>
    </row>
    <row r="3" spans="1:3" x14ac:dyDescent="0.3">
      <c r="A3" s="3" t="s">
        <v>164</v>
      </c>
    </row>
    <row r="4" spans="1:3" ht="42" customHeight="1" x14ac:dyDescent="0.3">
      <c r="A4" s="6" t="s">
        <v>165</v>
      </c>
      <c r="B4" s="6" t="s">
        <v>166</v>
      </c>
      <c r="C4" s="6" t="s">
        <v>167</v>
      </c>
    </row>
    <row r="5" spans="1:3" x14ac:dyDescent="0.3">
      <c r="A5" s="8" t="s">
        <v>168</v>
      </c>
      <c r="B5" s="31">
        <v>480000</v>
      </c>
      <c r="C5" s="17" t="s">
        <v>169</v>
      </c>
    </row>
    <row r="6" spans="1:3" x14ac:dyDescent="0.3">
      <c r="A6" s="8" t="s">
        <v>170</v>
      </c>
      <c r="B6" s="32">
        <v>0.62</v>
      </c>
      <c r="C6" s="17" t="s">
        <v>171</v>
      </c>
    </row>
    <row r="7" spans="1:3" x14ac:dyDescent="0.3">
      <c r="A7" s="8" t="s">
        <v>172</v>
      </c>
      <c r="B7" s="32">
        <v>0.3</v>
      </c>
      <c r="C7" s="17" t="s">
        <v>173</v>
      </c>
    </row>
    <row r="8" spans="1:3" x14ac:dyDescent="0.3">
      <c r="A8" s="8" t="s">
        <v>174</v>
      </c>
      <c r="B8" s="24">
        <f>B5*B6*B7</f>
        <v>89280</v>
      </c>
      <c r="C8" s="11" t="str">
        <f ca="1">_xlfn.FORMULATEXT(B8)</f>
        <v>=B5*B6*B7</v>
      </c>
    </row>
    <row r="9" spans="1:3" x14ac:dyDescent="0.3">
      <c r="A9" s="8" t="s">
        <v>175</v>
      </c>
      <c r="B9" s="32">
        <v>0.35</v>
      </c>
      <c r="C9" s="17" t="s">
        <v>176</v>
      </c>
    </row>
    <row r="10" spans="1:3" x14ac:dyDescent="0.3">
      <c r="A10" s="8" t="s">
        <v>177</v>
      </c>
      <c r="B10" s="24">
        <f>B8*B9</f>
        <v>31247.999999999996</v>
      </c>
      <c r="C10" s="11" t="str">
        <f ca="1">_xlfn.FORMULATEXT(B10)</f>
        <v>=B8*B9</v>
      </c>
    </row>
    <row r="11" spans="1:3" x14ac:dyDescent="0.3">
      <c r="A11" s="8" t="s">
        <v>178</v>
      </c>
      <c r="B11" s="31">
        <v>4</v>
      </c>
      <c r="C11" s="17" t="s">
        <v>179</v>
      </c>
    </row>
    <row r="12" spans="1:3" x14ac:dyDescent="0.3">
      <c r="A12" s="8" t="s">
        <v>180</v>
      </c>
      <c r="B12" s="24">
        <f>B10*B11</f>
        <v>124991.99999999999</v>
      </c>
      <c r="C12" s="11" t="str">
        <f ca="1">_xlfn.FORMULATEXT(B12)</f>
        <v>=B10*B11</v>
      </c>
    </row>
    <row r="13" spans="1:3" x14ac:dyDescent="0.3">
      <c r="A13" s="8" t="s">
        <v>181</v>
      </c>
      <c r="B13" s="16">
        <f>IF(Reparto!K10&gt;0,Reparto!K10,18)</f>
        <v>18</v>
      </c>
      <c r="C13" s="17" t="s">
        <v>182</v>
      </c>
    </row>
    <row r="14" spans="1:3" x14ac:dyDescent="0.3">
      <c r="A14" s="8" t="s">
        <v>183</v>
      </c>
      <c r="B14" s="16">
        <f>IF(Reparto!K13&gt;0,Reparto!K13,40)</f>
        <v>40</v>
      </c>
      <c r="C14" s="17" t="s">
        <v>184</v>
      </c>
    </row>
    <row r="15" spans="1:3" x14ac:dyDescent="0.3">
      <c r="A15" s="7" t="s">
        <v>185</v>
      </c>
      <c r="B15" s="32">
        <v>0.3</v>
      </c>
      <c r="C15" s="17" t="s">
        <v>186</v>
      </c>
    </row>
    <row r="16" spans="1:3" x14ac:dyDescent="0.3">
      <c r="A16" s="8" t="s">
        <v>187</v>
      </c>
      <c r="B16" s="23">
        <f>B12*(B15*B14+(1-B15)*B13)</f>
        <v>3074803.1999999997</v>
      </c>
      <c r="C16" s="11" t="str">
        <f ca="1">_xlfn.FORMULATEXT(B16)</f>
        <v>=B12*(B15*B14+(1-B15)*B13)</v>
      </c>
    </row>
    <row r="17" spans="1:3" x14ac:dyDescent="0.3">
      <c r="A17" s="7" t="s">
        <v>188</v>
      </c>
      <c r="B17" s="32">
        <v>0.1</v>
      </c>
      <c r="C17" s="17" t="s">
        <v>189</v>
      </c>
    </row>
    <row r="18" spans="1:3" x14ac:dyDescent="0.3">
      <c r="A18" s="8" t="s">
        <v>190</v>
      </c>
      <c r="B18" s="23">
        <f>B12*(B17*B14+(1-B17)*B13)</f>
        <v>2524838.3999999994</v>
      </c>
      <c r="C18" s="11" t="str">
        <f ca="1">_xlfn.FORMULATEXT(B18)</f>
        <v>=B12*(B17*B14+(1-B17)*B13)</v>
      </c>
    </row>
    <row r="19" spans="1:3" x14ac:dyDescent="0.3">
      <c r="A19" s="8" t="s">
        <v>191</v>
      </c>
      <c r="B19" s="23">
        <f>B16-B18</f>
        <v>549964.80000000028</v>
      </c>
      <c r="C19" s="11" t="str">
        <f ca="1">_xlfn.FORMULATEXT(B19)</f>
        <v>=B16-B18</v>
      </c>
    </row>
    <row r="20" spans="1:3" x14ac:dyDescent="0.3">
      <c r="A20" s="8" t="s">
        <v>192</v>
      </c>
      <c r="B20" s="10">
        <f>IF(B10&gt;0,B16/B10,0)</f>
        <v>98.4</v>
      </c>
      <c r="C20" s="11" t="str">
        <f ca="1">_xlfn.FORMULATEXT(B20)</f>
        <v>=SI(B10&gt;0;B16/B10;0)</v>
      </c>
    </row>
    <row r="21" spans="1:3" x14ac:dyDescent="0.3">
      <c r="A21" s="8" t="s">
        <v>193</v>
      </c>
      <c r="B21" s="10">
        <f>IF(B10&gt;0,B18/B10,0)</f>
        <v>80.8</v>
      </c>
      <c r="C21" s="11" t="str">
        <f ca="1">_xlfn.FORMULATEXT(B21)</f>
        <v>=SI(B10&gt;0;B18/B10;0)</v>
      </c>
    </row>
    <row r="23" spans="1:3" x14ac:dyDescent="0.3">
      <c r="A23" s="2" t="s">
        <v>194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D6F86"/>
  </sheetPr>
  <dimension ref="A1:G12"/>
  <sheetViews>
    <sheetView showGridLines="0" workbookViewId="0"/>
  </sheetViews>
  <sheetFormatPr baseColWidth="10" defaultColWidth="8.88671875" defaultRowHeight="14.4" x14ac:dyDescent="0.3"/>
  <cols>
    <col min="1" max="1" width="34" customWidth="1"/>
    <col min="2" max="3" width="12" customWidth="1"/>
    <col min="4" max="5" width="16" customWidth="1"/>
    <col min="6" max="6" width="20" customWidth="1"/>
    <col min="7" max="7" width="34" customWidth="1"/>
  </cols>
  <sheetData>
    <row r="1" spans="1:7" ht="17.399999999999999" x14ac:dyDescent="0.3">
      <c r="A1" s="1" t="s">
        <v>195</v>
      </c>
    </row>
    <row r="2" spans="1:7" x14ac:dyDescent="0.3">
      <c r="A2" s="2" t="s">
        <v>1</v>
      </c>
    </row>
    <row r="3" spans="1:7" x14ac:dyDescent="0.3">
      <c r="A3" s="3" t="s">
        <v>196</v>
      </c>
    </row>
    <row r="4" spans="1:7" ht="42" customHeight="1" x14ac:dyDescent="0.3">
      <c r="A4" s="6" t="s">
        <v>197</v>
      </c>
      <c r="B4" s="6" t="s">
        <v>198</v>
      </c>
      <c r="C4" s="6" t="s">
        <v>199</v>
      </c>
      <c r="D4" s="6" t="s">
        <v>200</v>
      </c>
      <c r="E4" s="6" t="s">
        <v>201</v>
      </c>
      <c r="F4" s="6" t="s">
        <v>110</v>
      </c>
      <c r="G4" s="6" t="s">
        <v>202</v>
      </c>
    </row>
    <row r="5" spans="1:7" x14ac:dyDescent="0.3">
      <c r="A5" s="7" t="s">
        <v>61</v>
      </c>
      <c r="B5" s="12">
        <v>1200</v>
      </c>
      <c r="C5" s="8" t="s">
        <v>59</v>
      </c>
      <c r="D5" s="9">
        <v>22</v>
      </c>
      <c r="E5" s="10">
        <f>B5*D5</f>
        <v>26400</v>
      </c>
      <c r="F5" s="11" t="str">
        <f t="shared" ref="F5:F10" ca="1" si="0">_xlfn.FORMULATEXT(E5)</f>
        <v>=B5*D5</v>
      </c>
      <c r="G5" s="17" t="s">
        <v>203</v>
      </c>
    </row>
    <row r="6" spans="1:7" x14ac:dyDescent="0.3">
      <c r="A6" s="7" t="s">
        <v>63</v>
      </c>
      <c r="B6" s="12">
        <v>2000</v>
      </c>
      <c r="C6" s="8" t="s">
        <v>59</v>
      </c>
      <c r="D6" s="9">
        <v>15</v>
      </c>
      <c r="E6" s="10">
        <f>B6*D6</f>
        <v>30000</v>
      </c>
      <c r="F6" s="11" t="str">
        <f t="shared" ca="1" si="0"/>
        <v>=B6*D6</v>
      </c>
      <c r="G6" s="17" t="s">
        <v>204</v>
      </c>
    </row>
    <row r="7" spans="1:7" x14ac:dyDescent="0.3">
      <c r="A7" s="7" t="s">
        <v>205</v>
      </c>
      <c r="B7" s="12">
        <v>3600</v>
      </c>
      <c r="C7" s="8" t="s">
        <v>59</v>
      </c>
      <c r="D7" s="9">
        <v>18</v>
      </c>
      <c r="E7" s="10">
        <f>B7*D7</f>
        <v>64800</v>
      </c>
      <c r="F7" s="11" t="str">
        <f t="shared" ca="1" si="0"/>
        <v>=B7*D7</v>
      </c>
      <c r="G7" s="17" t="s">
        <v>206</v>
      </c>
    </row>
    <row r="8" spans="1:7" x14ac:dyDescent="0.3">
      <c r="A8" s="33" t="s">
        <v>207</v>
      </c>
      <c r="B8" s="31"/>
      <c r="C8" s="33"/>
      <c r="D8" s="30"/>
      <c r="E8" s="10">
        <f>B8*D8</f>
        <v>0</v>
      </c>
      <c r="F8" s="11" t="str">
        <f t="shared" ca="1" si="0"/>
        <v>=B8*D8</v>
      </c>
    </row>
    <row r="9" spans="1:7" x14ac:dyDescent="0.3">
      <c r="A9" s="33" t="s">
        <v>207</v>
      </c>
      <c r="B9" s="31"/>
      <c r="C9" s="33"/>
      <c r="D9" s="30"/>
      <c r="E9" s="10">
        <f>B9*D9</f>
        <v>0</v>
      </c>
      <c r="F9" s="11" t="str">
        <f t="shared" ca="1" si="0"/>
        <v>=B9*D9</v>
      </c>
    </row>
    <row r="10" spans="1:7" x14ac:dyDescent="0.3">
      <c r="A10" s="4" t="s">
        <v>208</v>
      </c>
      <c r="E10" s="13">
        <f>SUM(E5:E9)</f>
        <v>121200</v>
      </c>
      <c r="F10" s="11" t="str">
        <f t="shared" ca="1" si="0"/>
        <v>=SUMA(E5:E9)</v>
      </c>
    </row>
    <row r="12" spans="1:7" x14ac:dyDescent="0.3">
      <c r="A12" s="3" t="s">
        <v>209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Léame</vt:lpstr>
      <vt:lpstr>Centros</vt:lpstr>
      <vt:lpstr>Bases</vt:lpstr>
      <vt:lpstr>Reparto</vt:lpstr>
      <vt:lpstr>Laboratorio</vt:lpstr>
      <vt:lpstr>TDABC</vt:lpstr>
      <vt:lpstr>Aseguramiento</vt:lpstr>
      <vt:lpstr>Escenarios</vt:lpstr>
      <vt:lpstr>Presupuesto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MANUEL NAZAS</cp:lastModifiedBy>
  <dcterms:created xsi:type="dcterms:W3CDTF">2026-10-17T13:54:12Z</dcterms:created>
  <dcterms:modified xsi:type="dcterms:W3CDTF">2026-10-17T13:54:41Z</dcterms:modified>
</cp:coreProperties>
</file>